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Детализация_июнь" sheetId="2" r:id="rId6"/>
    <sheet state="visible" name="Проверки" sheetId="3" r:id="rId7"/>
    <sheet state="visible" name="Методология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tc={016f50b0-50f7-470c-aaea-a43514264799}</author>
    <author>tc={03c4dd0e-0d7b-426f-a54a-fc19a6265473}</author>
    <author>tc={0455420b-7824-4de4-b8c4-d8f6ccecc213}</author>
    <author>tc={0ae62a74-7033-4d02-a826-d6e40a8dec57}</author>
    <author>tc={1215e2e6-bb90-4552-9675-06a895af5c72}</author>
    <author>tc={1c6c0bfc-fb06-458f-b252-25afbcc18afe}</author>
    <author>tc={1cbe3686-e91c-4bf0-820a-316274f9a8a6}</author>
    <author>tc={1d305bb2-5e80-4028-ab3b-afc1b2dfc874}</author>
    <author>tc={1fa591dd-b83f-47e4-884a-b3640c657622}</author>
    <author>tc={29b040ef-4379-4dfe-bd4b-43b8adb3ec77}</author>
    <author>tc={2dbccc7d-b1f6-4d1a-98d9-38252bbf650e}</author>
    <author>tc={3543e901-d51e-4377-af31-9ba15aba4ed2}</author>
    <author>tc={35cf3d74-6710-468a-b329-a08f5802578d}</author>
    <author>tc={36513cb1-dda7-4a7d-94d6-64c937186739}</author>
    <author>tc={36e4579b-1dfe-4fac-983f-cd194f5061e6}</author>
    <author>tc={3797d534-c7b8-4d4d-a015-1905cb387a02}</author>
    <author>tc={388d2ea3-ae0f-4e13-9e6b-8b188aa22a0a}</author>
    <author>tc={39c0cd59-bd70-4f43-8607-6badb1499bcd}</author>
    <author>tc={3a6719bf-bdd8-4e80-b64e-69a642f586f8}</author>
    <author>tc={51f60848-2011-43d1-81d4-654cf79c3334}</author>
    <author>tc={54fc7709-2375-49d9-9b97-49d028bd4554}</author>
    <author>tc={55222ad3-1eaf-4fb4-97c6-2404d8fd4312}</author>
    <author>tc={5cbd9263-d86a-4a9d-adc4-7067f9afea19}</author>
    <author>tc={5e44df59-42e2-4f6b-95fc-39728b41cb73}</author>
    <author>tc={6cd3dd45-37bc-425b-af02-82178d9f9edb}</author>
    <author>tc={7d0d93d0-4b0d-49dc-aa7e-f89045a7a5ad}</author>
    <author>tc={8972d20d-96d3-4315-8fe3-cbd29687c276}</author>
    <author>tc={8bc291a5-cf4d-4042-b717-844ffefc5c41}</author>
    <author>tc={8c16b091-c0c2-4538-98dc-1fa30561d809}</author>
    <author>tc={8e481efe-fddf-4d47-8b46-6b5280ca4af1}</author>
    <author>tc={8ea69773-1048-497f-9bd1-0ddff77a83d5}</author>
    <author>tc={91d0ed85-28ef-4490-b488-7c9aab9f96c2}</author>
    <author>tc={97d5b1e7-405b-4c95-a655-8c46fce98647}</author>
    <author>tc={985b3c59-2702-456f-8084-a911db193e31}</author>
    <author>tc={9a2bc908-11f4-4023-bed1-6fd8905523b3}</author>
    <author>tc={9a3a6bc5-4ec6-4a35-a935-89f7bf18e74e}</author>
    <author>tc={a83458e8-a73b-4906-9f25-03439995c811}</author>
    <author>tc={add00231-1d77-4620-8c59-b1c6a7fa1699}</author>
    <author>tc={afe29df8-edfd-480a-9317-c4b852430901}</author>
    <author>tc={b20121e1-7f62-4e44-8010-916897fe5520}</author>
    <author>tc={b2dc3b36-0af1-4cd9-b3e3-c53899f2a410}</author>
    <author>tc={b51ca5c3-d755-482e-8b75-fbb33028eb1a}</author>
    <author>tc={ba00f1fa-b247-42a2-a1db-eb2c1136a40d}</author>
    <author>tc={c0fb356c-235f-4109-8a16-51b40d7b44e6}</author>
    <author>tc={c39a87b0-c729-4177-8157-8458882c061a}</author>
    <author>tc={c6175496-8bdc-49a5-b7e2-64dccee0990a}</author>
    <author>tc={c8ad7f91-7580-4f83-aae5-0d7931a11cc2}</author>
    <author>tc={cd2fc13b-4375-4294-b3c4-ed7a4217cab9}</author>
    <author>tc={cd9a3584-677f-4df4-a7a0-6747c94031a5}</author>
    <author>tc={d33d304f-644b-432e-85f5-02d0e389d1af}</author>
    <author>tc={d57b8c9b-58ce-44db-9c63-d651122ee2de}</author>
    <author>tc={dc07853c-7b1d-4d95-9895-b6a47087152a}</author>
    <author>tc={dd3c5395-5344-48e0-af9e-c6374a38ca3e}</author>
    <author>tc={de2e82e0-fbd5-4fe3-bd4c-0028f40aebbd}</author>
    <author>tc={ded564d3-d821-476a-b326-08d579428ec4}</author>
    <author>tc={e7013878-377e-4575-b03c-b3666ab1f5ee}</author>
    <author>tc={e8b335ca-6341-42a7-990f-5d3104ff04fd}</author>
    <author>tc={eac75803-7d8e-4014-830b-cf47bd058aab}</author>
    <author>tc={ec6ced09-e141-4db8-99ce-19c75866a0cc}</author>
    <author>tc={f20532e7-5c69-4967-b052-042b232bb994}</author>
  </authors>
  <commentList>
    <comment authorId="0" ref="C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Прямые расходы берутся из операций ЖКХ и Забаланса по месяцу начисления. ВКО, депозиты, внутренние переводы, выплаты учредителям и отдельные подрядчики разработки сюда не входят.</t>
      </text>
    </comment>
    <comment authorId="0" ref="G5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Аллокация ГК в текущей таблице за январь не отражена.</t>
      </text>
    </comment>
    <comment authorId="0" ref="K9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ООО «Бренд Лаборатория»: 12.05.2026 — 2 495 997; 14.05.2026 — 1 501 300. Итого 3 997 297 руб. Назначение: тестирование и доработка программного модуля «Система мониторинга и анализа эксплуатации МКД». Не является выплатой ООО «Городская реклама» и не входит в C9.</t>
      </text>
    </comment>
    <comment authorId="0" ref="D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Отдельный управленческий ввод. Зарплаты Корсуновой, Мотускова, Саитова и других разработчиков не отражались в CF, поэтому эта сумма добавляется сверх CF-расходов и не считается дублем.</t>
      </text>
    </comment>
    <comment authorId="0" ref="F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Операционные расходы МДО всего = прямые операционные расходы из CF + отдельно учтенная команда разработки.</t>
      </text>
    </comment>
    <comment authorId="0" ref="J5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Январь 2026 — 594 560,45 руб. Отдельный управленческий ввод: платеж отсутствует в доступных отчетах ЖКХ/Забаланс, но зафиксирован владельцем модели.</t>
      </text>
    </comment>
    <comment authorId="0" ref="G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Распределенные на МДО услуги и расходы ГК. Они показываются отдельно, чтобы не смешивать их с прямыми расходами команды МДО.</t>
      </text>
    </comment>
    <comment authorId="0" ref="H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Операционный результат = выручка минус прямые OPEX, разработка МДО и аллокация ГК. Это результат основной деятельности до выплат учредителям и внешним проектным подрядчикам.</t>
      </text>
    </comment>
    <comment authorId="0" ref="I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Это выплаты собственникам, а не операционные расходы P&amp;L.</t>
      </text>
    </comment>
    <comment authorId="0" ref="J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Платежи ООО «66 Бит» показываются отдельно от текущей команды разработки МДО.</t>
      </text>
    </comment>
    <comment authorId="0" ref="K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Разовые выплаты по отдельным проектам разработки. В мае здесь отражено ООО «Бренд Лаборатория», а не ООО «Городская реклама».</t>
      </text>
    </comment>
    <comment authorId="0" ref="L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Сумма операционных расходов, аллокации и всех разовых выплат. Это денежные оттоки, а не только расходы P&amp;L.</t>
      </text>
    </comment>
    <comment authorId="0" ref="M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Денежный результат периода после всех отраженных расходов и выплат. Не является остатком денег на банковском счете.</t>
      </text>
    </comment>
    <comment authorId="0" ref="A1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Июнь: прямые OPEX и аллокация сверены по двум CF; разработка — отдельный ввод; 66 Бит — отдельная выплата.</t>
      </text>
    </comment>
    <comment authorId="0" ref="B1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Источник: Мега-таблица, Аккаунты!W70, Факт отдела на р/с за июнь 2026. Значение прочитано 15.07.2026.</t>
      </text>
    </comment>
    <comment authorId="0" ref="C1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Июнь 2026 — 241 414 руб. 57_ЖКХ: прямые расходы 59 125,76; 98_Забаланс: прямые расходы 182 288,24. ВКО 6 018 607,69 исключены. Аллокация 34 337,48 и выплата 66 Бит 1 189 120,91 показаны отдельно. Детальные операции находятся на листе Детализация_июнь.</t>
      </text>
    </comment>
    <comment authorId="0" ref="A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Февраль: прямые расходы собраны из февральского CF и поздних начислений; разработка учтена отдельно.</t>
      </text>
    </comment>
    <comment authorId="0" ref="B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Выручка за февраль 2026 сохранена из исходной управленческой таблицы. Рабочий источник: Мега-таблица, вкладка Аккаунты, строка Факт отдела на р/с.</t>
      </text>
    </comment>
    <comment authorId="0" ref="C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Февраль 2026 — 363 096,50 руб. Состав: связь/Интернет 316 800; реклама 17 000; аренда 15 100; поздние налоги и взносы 13 400,50; банк 796. HeadHunter 2 400 вынесен в аллокацию. Источники: 64_ЖКХ за февраль и поздние начисления из 108_Забаланс за апрель.</t>
      </text>
    </comment>
    <comment authorId="0" ref="G1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HeadHunter — 21 900; Roistat — 3 780; Coldy — 8 500; Topvisor — 157,48. Итого 34 337,48 руб.</t>
      </text>
    </comment>
    <comment authorId="0" ref="A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Октябрь: прямые OPEX из отчета по начислению + отдельная стоимость разработки + аллокация HeadHunter.</t>
      </text>
    </comment>
    <comment authorId="0" ref="B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Выручка за октябрь 2025 сохранена из исходной управленческой таблицы. Рабочий источник: Мега-таблица, вкладка Аккаунты, строка Факт отдела на р/с.</t>
      </text>
    </comment>
    <comment authorId="0" ref="J1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98_Забаланс, строка 124: ООО «66 Бит», договор №121, выплата 1 189 120,91 руб.</t>
      </text>
    </comment>
    <comment authorId="0" ref="C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Октябрь 2025 — 704 273,25 руб. Источник: отчет расходов МДО по начислению за октябрь–декабрь 2025. Состав: зарплата 513 352,53; премии 140 577,98; налоги 29 954,80; сайт/маркетинг 10 920; банк 7 467,94; подарки/матпомощь 2 000. HeadHunter 3 956 вынесен в аллокацию ГК.</t>
      </text>
    </comment>
    <comment authorId="0" ref="G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HeadHunter — 2 400 руб.</t>
      </text>
    </comment>
    <comment authorId="0" ref="D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Октябрь 2025 — отдельный управленческий ввод полной стоимости команды разработки. В CF зарплаты разработчиков не отражены. Состав команды подтверждается табелем трудозатрат; сумма не заменяется итогом CF.</t>
      </text>
    </comment>
    <comment authorId="0" ref="G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HeadHunter — 3 956 руб.</t>
      </text>
    </comment>
    <comment authorId="0" ref="D1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Октябрь 2025 — отдельный управленческий ввод полной стоимости команды разработки. В CF зарплаты разработчиков не отражены. Состав команды подтверждается табелем трудозатрат; сумма не заменяется итогом CF.</t>
      </text>
    </comment>
    <comment authorId="0" ref="A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Март: расходы собраны по месяцу начисления из нескольких последующих CF; разработка учтена отдельно.</t>
      </text>
    </comment>
    <comment authorId="0" ref="B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Выручка за март 2026 сохранена из исходной управленческой таблицы. Рабочий источник: Мега-таблица, вкладка Аккаунты, строка Факт отдела на р/с.</t>
      </text>
    </comment>
    <comment authorId="0" ref="C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Март 2026 — 1 056 685,13 руб. Состав: зарплата 547 181,96; премии 232 369,91; налоги/взносы/УСН 221 061,29; хостинг 40 000; банк 8 871,97; сайт/маркетинг 7 200. Курьер ГК 2 804,77 вынесен в аллокацию. Источники: февральский, апрельские и майский CF по месяцу начисления.</t>
      </text>
    </comment>
    <comment authorId="0" ref="A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Ноябрь: прямые OPEX из отчета по начислению + отдельная стоимость разработки + услуги ГК.</t>
      </text>
    </comment>
    <comment authorId="0" ref="B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Выручка за ноябрь 2025 сохранена из исходной управленческой таблицы. Рабочий источник: Мега-таблица, вкладка Аккаунты, строка Факт отдела на р/с.</t>
      </text>
    </comment>
    <comment authorId="0" ref="C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Ноябрь 2025 — 919 146,64 руб. Источник: отчет по начислению за октябрь–декабрь 2025. Основное: зарплата 545 552,75; премии 130 677,37; SMS 60 000; домены 55 673; налоги и взносы 39 639,18; коммерческое вознаграждение 25 000; ПО 24 390; аренда 23 280; банк 8 446,68; прочее 7 087,66. Юристы, HeadHunter, регистрация ЮЛ и доставка SIM на 57 958 вынесены в аллокацию.</t>
      </text>
    </comment>
    <comment authorId="0" ref="G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Курьер/АХО ГК — 2 804,77 руб.</t>
      </text>
    </comment>
    <comment authorId="0" ref="G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Юридические услуги — 39 000; HeadHunter — 16 636; регистрация/обслуживание ЮЛ — 1 600; доставка SIM — 722. Итого 57 958 руб.</t>
      </text>
    </comment>
    <comment authorId="0" ref="A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Апрель: прямые расходы сверены по операциям ЖКХ и Забаланса, включая позднее закрытие; разработка и 66 Бит отдельно.</t>
      </text>
    </comment>
    <comment authorId="0" ref="B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Выручка за апрель 2026 сохранена из исходной управленческой таблицы. Рабочий источник: Мега-таблица, вкладка Аккаунты, строка Факт отдела на р/с.</t>
      </text>
    </comment>
    <comment authorId="0" ref="C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Апрель 2026 — 830 333,48 руб. Источники: 65_ЖКХ — 10 641,73; 108_Забаланс — 140 333,96; позднее закрытие из 61_ЖКХ — 636 687,15; из 102_Забаланс — 17 608,50; из 98_Забаланс — 25 062,14. HeadHunter 30 060 вынесен в аллокацию. 66 Бит 594 560,45 показан отдельно.</t>
      </text>
    </comment>
    <comment authorId="0" ref="D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Октябрь 2025 — отдельный управленческий ввод полной стоимости команды разработки. В CF зарплаты разработчиков не отражены. Состав команды подтверждается табелем трудозатрат; сумма не заменяется итогом CF.</t>
      </text>
    </comment>
    <comment authorId="0" ref="A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Декабрь: операционные расходы и отдельная разработка; выплаты учредителям вынесены из операционного результата.</t>
      </text>
    </comment>
    <comment authorId="0" ref="B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Выручка за декабрь 2025 сохранена из исходной управленческой таблицы. Рабочий источник: Мега-таблица, вкладка Аккаунты, строка Факт отдела на р/с.</t>
      </text>
    </comment>
    <comment authorId="0" ref="C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Декабрь 2025 — 1 014 219,16 руб. База сформирована из отчета по начислению за октябрь–декабрь и поздних начислений из последующих CF. В доступном комплекте нет единого реестра, полностью раскладывающего текущую итоговую сумму; значение сохранено как согласованный управленческий итог. Выплаты учредителям 6 035 451,01 показаны отдельно.</t>
      </text>
    </comment>
    <comment authorId="0" ref="G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HeadHunter — 30 060 руб.</t>
      </text>
    </comment>
    <comment authorId="0" ref="J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108_Забаланс, строка 29: ООО «66 Бит», договор №121, выплата 594 560,45 руб.</t>
      </text>
    </comment>
    <comment authorId="0" ref="G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HeadHunter — 4 850; почтовые услуги — 1 100; курьер — 500. Итого 6 450 руб.</t>
      </text>
    </comment>
    <comment authorId="0" ref="I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Выплаты за декабрь 2025: Иванов — 1 537 920; Клевцов — 3 551 209,67; Шильников — 946 080; комиссии — 241,34. Итого 6 035 451,01 руб. Это распределение средств учредителям, а не операционный расход.</t>
      </text>
    </comment>
    <comment authorId="0" ref="A9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Май: высокий OPEX объясняется оплатой Городской рекламе 3,998 млн за колл-центр; Бренд Лаборатория 3,997 млн вынесена отдельно.</t>
      </text>
    </comment>
    <comment authorId="0" ref="B9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Выручка за май 2026 сохранена из исходной управленческой таблицы. Рабочий источник: Мега-таблица, вкладка Аккаунты, строка Факт отдела на р/с.</t>
      </text>
    </comment>
    <comment authorId="0" ref="C9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Май 2026 — 5 719 509,17 руб. Состав базы: Городская реклама — колл-центр и сопровождение клиентов 3 998 799; Маинд Крафт — минуты и лицензия голосового бота 659 340; SMS 120 000; хостинг/домены/серверы 108 431; Fastcom — голосовой бот 10 000; исследования/интервью и direct HeadHunter 83 127; зарплата 27 113; ПО 26 002,10; обучение 12 720; банк 3 206,30. Поздние майские расходы из июньских CF — 670 770,77. ООО «Бренд Лаборатория» 3 997 297 сюда не входит и показано отдельно.</t>
      </text>
    </comment>
    <comment authorId="0" ref="A5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Январь: часть значений является отдельным управленческим вводом, потому что полного январского CF в комплекте нет.</t>
      </text>
    </comment>
    <comment authorId="0" ref="B5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Выручка за январь 2026 сохранена из исходной управленческой таблицы. Рабочий источник: Мега-таблица, вкладка Аккаунты, строка Факт отдела на р/с.</t>
      </text>
    </comment>
    <comment authorId="0" ref="C5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Январь 2026 — 673 585,69 руб. Значение сохранено как согласованный управленческий итог. Полный январский CF/реестр операций отсутствует в доступном комплекте, поэтому детальная защита суммы требует исходного январского документа. Разработка и 66 Бит показаны отдельно.</t>
      </text>
    </comment>
    <comment authorId="0" ref="G9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HeadHunter — 17 500 руб.</t>
      </text>
    </comment>
    <comment authorId="1" xr:uid="{016f50b0-50f7-470c-aaea-a43514264799}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Аллокация ГК в текущей таблице за январь не отражена.
</t>
      </text>
    </comment>
    <comment authorId="2" xr:uid="{03c4dd0e-0d7b-426f-a54a-fc19a6265473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Юридические услуги — 39 000; HeadHunter — 16 636; регистрация/обслуживание ЮЛ — 1 600; доставка SIM — 722. Итого 57 958 руб.
</t>
      </text>
    </comment>
    <comment authorId="3" xr:uid="{0455420b-7824-4de4-b8c4-d8f6ccecc213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Январь: часть значений является отдельным управленческим вводом, потому что полного январского CF в комплекте нет.
</t>
      </text>
    </comment>
    <comment authorId="4" xr:uid="{0ae62a74-7033-4d02-a826-d6e40a8dec57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Июнь 2026 — 241 414 руб. 57_ЖКХ: прямые расходы 59 125,76; 98_Забаланс: прямые расходы 182 288,24. ВКО 6 018 607,69 исключены. Аллокация 34 337,48 и выплата 66 Бит 1 189 120,91 показаны отдельно. Детальные операции находятся на листе Детализация_июнь.
</t>
      </text>
    </comment>
    <comment authorId="5" xr:uid="{1215e2e6-bb90-4552-9675-06a895af5c72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выплаты собственникам, а не операционные расходы P&amp;L.
</t>
      </text>
    </comment>
    <comment authorId="6" xr:uid="{1c6c0bfc-fb06-458f-b252-25afbcc18afe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Март: расходы собраны по месяцу начисления из нескольких последующих CF; разработка учтена отдельно.
</t>
      </text>
    </comment>
    <comment authorId="7" xr:uid="{1cbe3686-e91c-4bf0-820a-316274f9a8a6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Распределенные на МДО услуги и расходы ГК. Они показываются отдельно, чтобы не смешивать их с прямыми расходами команды МДО.
</t>
      </text>
    </comment>
    <comment authorId="8" xr:uid="{1d305bb2-5e80-4028-ab3b-afc1b2dfc874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Декабрь 2025 — отдельный управленческий ввод полной стоимости команды разработки. Не смешивается с выплатами учредителям и внешними подрядчиками.
</t>
      </text>
    </comment>
    <comment authorId="9" xr:uid="{1fa591dd-b83f-47e4-884a-b3640c657622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Денежный результат периода после всех отраженных расходов и выплат. Не является остатком денег на банковском счете.
</t>
      </text>
    </comment>
    <comment authorId="10" xr:uid="{29b040ef-4379-4dfe-bd4b-43b8adb3ec77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Декабрь: операционные расходы и отдельная разработка; выплаты учредителям вынесены из операционного результата.
</t>
      </text>
    </comment>
    <comment authorId="11" xr:uid="{2dbccc7d-b1f6-4d1a-98d9-38252bbf650e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Декабрь 2025 — 1 014 219,16 руб. База сформирована из отчета по начислению за октябрь–декабрь и поздних начислений из последующих CF. В доступном комплекте нет единого реестра, полностью раскладывающего текущую итоговую сумму; значение сохранено как согласованный управленческий итог. Выплаты учредителям 6 035 451,01 показаны отдельно.
</t>
      </text>
    </comment>
    <comment authorId="12" xr:uid="{3543e901-d51e-4377-af31-9ba15aba4ed2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Май 2026 — отдельный управленческий ввод полной стоимости команды разработки. ООО «Бренд Лаборатория» и 66 Бит в эту сумму не входят.
</t>
      </text>
    </comment>
    <comment authorId="13" xr:uid="{35cf3d74-6710-468a-b329-a08f5802578d}" ref="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Июнь 2026 — отдельный управленческий ввод полной стоимости команды разработки. Отсутствие суммы в июньских CF ожидаемо и не является расхождением.
</t>
      </text>
    </comment>
    <comment authorId="14" xr:uid="{36513cb1-dda7-4a7d-94d6-64c937186739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Прямые расходы берутся из операций ЖКХ и Забаланса по месяцу начисления. ВКО, депозиты, внутренние переводы, выплаты учредителям и отдельные подрядчики разработки сюда не входят.
</t>
      </text>
    </comment>
    <comment authorId="15" xr:uid="{36e4579b-1dfe-4fac-983f-cd194f5061e6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Выручка за ноябрь 2025 сохранена из исходной управленческой таблицы. Рабочий источник: Мега-таблица, вкладка Аккаунты, строка Факт отдела на р/с.
</t>
      </text>
    </comment>
    <comment authorId="16" xr:uid="{3797d534-c7b8-4d4d-a015-1905cb387a02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Ноябрь 2025 — отдельный управленческий ввод полной стоимости команды разработки. Не входит в прямые CF-расходы и не дублирует их.
</t>
      </text>
    </comment>
    <comment authorId="17" xr:uid="{388d2ea3-ae0f-4e13-9e6b-8b188aa22a0a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Январь 2026 — 594 560,45 руб. Отдельный управленческий ввод: платеж отсутствует в доступных отчетах ЖКХ/Забаланс, но зафиксирован владельцем модели.
</t>
      </text>
    </comment>
    <comment authorId="18" xr:uid="{39c0cd59-bd70-4f43-8607-6badb1499bcd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Выручка за апрель 2026 сохранена из исходной управленческой таблицы. Рабочий источник: Мега-таблица, вкладка Аккаунты, строка Факт отдела на р/с.
</t>
      </text>
    </comment>
    <comment authorId="19" xr:uid="{3a6719bf-bdd8-4e80-b64e-69a642f586f8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Июнь: прямые OPEX и аллокация сверены по двум CF; разработка — отдельный ввод; 66 Бит — отдельная выплата.
</t>
      </text>
    </comment>
    <comment authorId="20" xr:uid="{51f60848-2011-43d1-81d4-654cf79c3334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Разовые выплаты по отдельным проектам разработки. В мае здесь отражено ООО «Бренд Лаборатория», а не ООО «Городская реклама».
</t>
      </text>
    </comment>
    <comment authorId="21" xr:uid="{54fc7709-2375-49d9-9b97-49d028bd4554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HeadHunter — 21 900; Roistat — 3 780; Coldy — 8 500; Topvisor — 157,48. Итого 34 337,48 руб.
</t>
      </text>
    </comment>
    <comment authorId="22" xr:uid="{55222ad3-1eaf-4fb4-97c6-2404d8fd4312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Выручка за март 2026 сохранена из исходной управленческой таблицы. Рабочий источник: Мега-таблица, вкладка Аккаунты, строка Факт отдела на р/с.
</t>
      </text>
    </comment>
    <comment authorId="23" xr:uid="{5cbd9263-d86a-4a9d-adc4-7067f9afea19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Курьер/АХО ГК — 2 804,77 руб.
</t>
      </text>
    </comment>
    <comment authorId="24" xr:uid="{5e44df59-42e2-4f6b-95fc-39728b41cb73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Февраль 2026 — отдельный управленческий ввод полной стоимости команды разработки. Табель используется для состава и трудозатрат, CF не является источником этой суммы.
</t>
      </text>
    </comment>
    <comment authorId="25" xr:uid="{6cd3dd45-37bc-425b-af02-82178d9f9edb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Апрель: прямые расходы сверены по операциям ЖКХ и Забаланса, включая позднее закрытие; разработка и 66 Бит отдельно.
</t>
      </text>
    </comment>
    <comment authorId="26" xr:uid="{7d0d93d0-4b0d-49dc-aa7e-f89045a7a5ad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Выручка за январь 2026 сохранена из исходной управленческой таблицы. Рабочий источник: Мега-таблица, вкладка Аккаунты, строка Факт отдела на р/с.
</t>
      </text>
    </comment>
    <comment authorId="27" xr:uid="{8972d20d-96d3-4315-8fe3-cbd29687c276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Выручка за октябрь 2025 сохранена из исходной управленческой таблицы. Рабочий источник: Мега-таблица, вкладка Аккаунты, строка Факт отдела на р/с.
</t>
      </text>
    </comment>
    <comment authorId="28" xr:uid="{8bc291a5-cf4d-4042-b717-844ffefc5c41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Октябрь 2025 — отдельный управленческий ввод полной стоимости команды разработки. В CF зарплаты разработчиков не отражены. Состав команды подтверждается табелем трудозатрат; сумма не заменяется итогом CF.
</t>
      </text>
    </comment>
    <comment authorId="29" xr:uid="{8c16b091-c0c2-4538-98dc-1fa30561d809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Выручка за декабрь 2025 сохранена из исходной управленческой таблицы. Рабочий источник: Мега-таблица, вкладка Аккаунты, строка Факт отдела на р/с.
</t>
      </text>
    </comment>
    <comment authorId="30" xr:uid="{8e481efe-fddf-4d47-8b46-6b5280ca4af1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Выручка за май 2026 сохранена из исходной управленческой таблицы. Рабочий источник: Мега-таблица, вкладка Аккаунты, строка Факт отдела на р/с.
</t>
      </text>
    </comment>
    <comment authorId="31" xr:uid="{8ea69773-1048-497f-9bd1-0ddff77a83d5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Октябрь: прямые OPEX из отчета по начислению + отдельная стоимость разработки + аллокация HeadHunter.
</t>
      </text>
    </comment>
    <comment authorId="32" xr:uid="{91d0ed85-28ef-4490-b488-7c9aab9f96c2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Источник: Мега-таблица, Аккаунты!W70, Факт отдела на р/с за июнь 2026. Значение прочитано 15.07.2026.
</t>
      </text>
    </comment>
    <comment authorId="33" xr:uid="{97d5b1e7-405b-4c95-a655-8c46fce98647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Февраль 2026 — 363 096,50 руб. Состав: связь/Интернет 316 800; реклама 17 000; аренда 15 100; поздние налоги и взносы 13 400,50; банк 796. HeadHunter 2 400 вынесен в аллокацию. Источники: 64_ЖКХ за февраль и поздние начисления из 108_Забаланс за апрель.
</t>
      </text>
    </comment>
    <comment authorId="34" xr:uid="{985b3c59-2702-456f-8084-a911db193e31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Платежи ООО «66 Бит» показываются отдельно от текущей команды разработки МДО.
</t>
      </text>
    </comment>
    <comment authorId="35" xr:uid="{9a2bc908-11f4-4023-bed1-6fd8905523b3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Январь 2026 — отдельный управленческий ввод полной стоимости команды разработки. Зарплаты разработчиков отсутствуют в отчетах ЖКХ/Забаланс.
</t>
      </text>
    </comment>
    <comment authorId="36" xr:uid="{9a3a6bc5-4ec6-4a35-a935-89f7bf18e74e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Операционные расходы МДО всего = прямые операционные расходы из CF + отдельно учтенная команда разработки.
</t>
      </text>
    </comment>
    <comment authorId="37" xr:uid="{a83458e8-a73b-4906-9f25-03439995c811}" ref="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98_Забаланс, строка 124: ООО «66 Бит», договор №121, выплата 1 189 120,91 руб.
</t>
      </text>
    </comment>
    <comment authorId="38" xr:uid="{add00231-1d77-4620-8c59-b1c6a7fa1699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HeadHunter — 4 850; почтовые услуги — 1 100; курьер — 500. Итого 6 450 руб.
</t>
      </text>
    </comment>
    <comment authorId="39" xr:uid="{afe29df8-edfd-480a-9317-c4b852430901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Выручка за февраль 2026 сохранена из исходной управленческой таблицы. Рабочий источник: Мега-таблица, вкладка Аккаунты, строка Факт отдела на р/с.
</t>
      </text>
    </comment>
    <comment authorId="40" xr:uid="{b20121e1-7f62-4e44-8010-916897fe5520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Февраль: прямые расходы собраны из февральского CF и поздних начислений; разработка учтена отдельно.
</t>
      </text>
    </comment>
    <comment authorId="41" xr:uid="{b2dc3b36-0af1-4cd9-b3e3-c53899f2a410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Май: высокий OPEX объясняется оплатой Городской рекламе 3,998 млн за колл-центр; Бренд Лаборатория 3,997 млн вынесена отдельно.
</t>
      </text>
    </comment>
    <comment authorId="42" xr:uid="{b51ca5c3-d755-482e-8b75-fbb33028eb1a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Ноябрь 2025 — 919 146,64 руб. Источник: отчет по начислению за октябрь–декабрь 2025. Основное: зарплата 545 552,75; премии 130 677,37; SMS 60 000; домены 55 673; налоги и взносы 39 639,18; коммерческое вознаграждение 25 000; ПО 24 390; аренда 23 280; банк 8 446,68; прочее 7 087,66. Юристы, HeadHunter, регистрация ЮЛ и доставка SIM на 57 958 вынесены в аллокацию.
</t>
      </text>
    </comment>
    <comment authorId="43" xr:uid="{ba00f1fa-b247-42a2-a1db-eb2c1136a40d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Апрель 2026 — отдельный управленческий ввод полной стоимости команды разработки. Сумма сохранена из рабочей таблицы владельца модели.
</t>
      </text>
    </comment>
    <comment authorId="44" xr:uid="{c0fb356c-235f-4109-8a16-51b40d7b44e6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Операционный результат = выручка минус прямые OPEX, разработка МДО и аллокация ГК. Это результат основной деятельности до выплат учредителям и внешним проектным подрядчикам.
</t>
      </text>
    </comment>
    <comment authorId="45" xr:uid="{c39a87b0-c729-4177-8157-8458882c061a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HeadHunter — 17 500 руб.
</t>
      </text>
    </comment>
    <comment authorId="46" xr:uid="{c6175496-8bdc-49a5-b7e2-64dccee0990a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Март 2026 — отдельный управленческий ввод полной стоимости команды разработки. В CF есть только отдельные компенсации ПО, а не зарплаты команды.
</t>
      </text>
    </comment>
    <comment authorId="47" xr:uid="{c8ad7f91-7580-4f83-aae5-0d7931a11cc2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Март 2026 — 1 056 685,13 руб. Состав: зарплата 547 181,96; премии 232 369,91; налоги/взносы/УСН 221 061,29; хостинг 40 000; банк 8 871,97; сайт/маркетинг 7 200. Курьер ГК 2 804,77 вынесен в аллокацию. Источники: февральский, апрельские и майский CF по месяцу начисления.
</t>
      </text>
    </comment>
    <comment authorId="48" xr:uid="{cd2fc13b-4375-4294-b3c4-ed7a4217cab9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Май 2026 — 5 719 509,17 руб. Состав базы: Городская реклама — колл-центр и сопровождение клиентов 3 998 799; Маинд Крафт — минуты и лицензия голосового бота 659 340; SMS 120 000; хостинг/домены/серверы 108 431; Fastcom — голосовой бот 10 000; исследования/интервью и direct HeadHunter 83 127; зарплата 27 113; ПО 26 002,10; обучение 12 720; банк 3 206,30. Поздние майские расходы из июньских CF — 670 770,77. ООО «Бренд Лаборатория» 3 997 297 сюда не входит и показано отдельно.
</t>
      </text>
    </comment>
    <comment authorId="49" xr:uid="{cd9a3584-677f-4df4-a7a0-6747c94031a5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HeadHunter — 2 400 руб.
</t>
      </text>
    </comment>
    <comment authorId="50" xr:uid="{d33d304f-644b-432e-85f5-02d0e389d1af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Сумма операционных расходов, аллокации и всех разовых выплат. Это денежные оттоки, а не только расходы P&amp;L.
</t>
      </text>
    </comment>
    <comment authorId="51" xr:uid="{d57b8c9b-58ce-44db-9c63-d651122ee2de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Ноябрь: прямые OPEX из отчета по начислению + отдельная стоимость разработки + услуги ГК.
</t>
      </text>
    </comment>
    <comment authorId="52" xr:uid="{dc07853c-7b1d-4d95-9895-b6a47087152a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Октябрь 2025 — 704 273,25 руб. Источник: отчет расходов МДО по начислению за октябрь–декабрь 2025. Состав: зарплата 513 352,53; премии 140 577,98; налоги 29 954,80; сайт/маркетинг 10 920; банк 7 467,94; подарки/матпомощь 2 000. HeadHunter 3 956 вынесен в аллокацию ГК.
</t>
      </text>
    </comment>
    <comment authorId="53" xr:uid="{dd3c5395-5344-48e0-af9e-c6374a38ca3e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Апрель 2026 — 830 333,48 руб. Источники: 65_ЖКХ — 10 641,73; 108_Забаланс — 140 333,96; позднее закрытие из 61_ЖКХ — 636 687,15; из 102_Забаланс — 17 608,50; из 98_Забаланс — 25 062,14. HeadHunter 30 060 вынесен в аллокацию. 66 Бит 594 560,45 показан отдельно.
</t>
      </text>
    </comment>
    <comment authorId="54" xr:uid="{de2e82e0-fbd5-4fe3-bd4c-0028f40aebbd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HeadHunter — 30 060 руб.
</t>
      </text>
    </comment>
    <comment authorId="55" xr:uid="{ded564d3-d821-476a-b326-08d579428ec4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ООО «Бренд Лаборатория»: 12.05.2026 — 2 495 997; 14.05.2026 — 1 501 300. Итого 3 997 297 руб. Назначение: тестирование и доработка программного модуля «Система мониторинга и анализа эксплуатации МКД». Не является выплатой ООО «Городская реклама» и не входит в C9.
</t>
      </text>
    </comment>
    <comment authorId="56" xr:uid="{e7013878-377e-4575-b03c-b3666ab1f5ee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Выплаты за декабрь 2025: Иванов — 1 537 920; Клевцов — 3 551 209,67; Шильников — 946 080; комиссии — 241,34. Итого 6 035 451,01 руб. Это распределение средств учредителям, а не операционный расход.
</t>
      </text>
    </comment>
    <comment authorId="57" xr:uid="{e8b335ca-6341-42a7-990f-5d3104ff04fd}" ref="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108_Забаланс, строка 29: ООО «66 Бит», договор №121, выплата 594 560,45 руб.
</t>
      </text>
    </comment>
    <comment authorId="58" xr:uid="{eac75803-7d8e-4014-830b-cf47bd058aab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Отдельный управленческий ввод. Зарплаты Корсуновой, Мотускова, Саитова и других разработчиков не отражались в CF, поэтому эта сумма добавляется сверх CF-расходов и не считается дублем.
</t>
      </text>
    </comment>
    <comment authorId="59" xr:uid="{ec6ced09-e141-4db8-99ce-19c75866a0cc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HeadHunter — 3 956 руб.
</t>
      </text>
    </comment>
    <comment authorId="60" xr:uid="{f20532e7-5c69-4967-b052-042b232bb994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Январь 2026 — 673 585,69 руб. Значение сохранено как согласованный управленческий итог. Полный январский CF/реестр операций отсутствует в доступном комплекте, поэтому детальная защита суммы требует исходного январского документа. Разработка и 66 Бит показаны отдельно.
</t>
      </text>
    </comment>
  </commentList>
</comments>
</file>

<file path=xl/sharedStrings.xml><?xml version="1.0" encoding="utf-8"?>
<sst xmlns="http://schemas.openxmlformats.org/spreadsheetml/2006/main" count="911" uniqueCount="256">
  <si>
    <t>Период</t>
  </si>
  <si>
    <t>Выручка</t>
  </si>
  <si>
    <t>Прямые операционные расходы МДО (без разработки)</t>
  </si>
  <si>
    <t>Разработка МДО в штате</t>
  </si>
  <si>
    <t>Сдельная оплата по разрботке МДО</t>
  </si>
  <si>
    <t>Операционные расходы МДО всего</t>
  </si>
  <si>
    <t>Аллокация / услуги ГК</t>
  </si>
  <si>
    <t>Операционный результат до разовых выплат</t>
  </si>
  <si>
    <t>Выплаты учредителям</t>
  </si>
  <si>
    <t>Выплаты ООО «66 Бит»</t>
  </si>
  <si>
    <t>Выплаты по отдельным проектам разработки</t>
  </si>
  <si>
    <t>Всего расходов и выплат</t>
  </si>
  <si>
    <t>Денежный результат после всех выплат</t>
  </si>
  <si>
    <t>Окт-25</t>
  </si>
  <si>
    <t>Ноя-25</t>
  </si>
  <si>
    <t>Дек-25</t>
  </si>
  <si>
    <t>Янв-26</t>
  </si>
  <si>
    <t>Фев-26</t>
  </si>
  <si>
    <t>Мар-26</t>
  </si>
  <si>
    <t>Апр-26</t>
  </si>
  <si>
    <t>Май-26</t>
  </si>
  <si>
    <t>Июн-26</t>
  </si>
  <si>
    <t>Итого</t>
  </si>
  <si>
    <t>Период учета</t>
  </si>
  <si>
    <t>Источник</t>
  </si>
  <si>
    <t>Строка</t>
  </si>
  <si>
    <t>Дата платежа</t>
  </si>
  <si>
    <t>Месяц начисления</t>
  </si>
  <si>
    <t>Контрагент</t>
  </si>
  <si>
    <t>Статья CF</t>
  </si>
  <si>
    <t>Содержание</t>
  </si>
  <si>
    <t>Сумма, ₽</t>
  </si>
  <si>
    <t>Категория сводки</t>
  </si>
  <si>
    <t>Включить</t>
  </si>
  <si>
    <t>Статус / примечание</t>
  </si>
  <si>
    <t>Назначение платежа / ссылка</t>
  </si>
  <si>
    <t>Аллокация с ГК (исходная база)</t>
  </si>
  <si>
    <t>C8</t>
  </si>
  <si>
    <t>Апрель</t>
  </si>
  <si>
    <t>Согласованная база</t>
  </si>
  <si>
    <t>Опер. расходы МДО без разработки до позднего закрытия</t>
  </si>
  <si>
    <t>Опер. расходы МДО без разработки</t>
  </si>
  <si>
    <t>Да</t>
  </si>
  <si>
    <t>Сохраненная база исходного файла</t>
  </si>
  <si>
    <t>C9</t>
  </si>
  <si>
    <t>Май</t>
  </si>
  <si>
    <t>Июнь-26</t>
  </si>
  <si>
    <t>Аллокация с ГК (исходный ручной ввод)</t>
  </si>
  <si>
    <t>D10</t>
  </si>
  <si>
    <t>Июнь</t>
  </si>
  <si>
    <t>Разработка МДО</t>
  </si>
  <si>
    <t>Значение было в исходной таблице до обработки июньских CF</t>
  </si>
  <si>
    <t>Отдельный управленческий ввод владельца модели: зарплаты разработчиков не отражены в CF и добавляются сверх CF-расходов</t>
  </si>
  <si>
    <t>МДО - Мега-таблица</t>
  </si>
  <si>
    <t>Аккаунты!W70</t>
  </si>
  <si>
    <t>Факт отдела на р/с</t>
  </si>
  <si>
    <t>Выручка за июнь 2026</t>
  </si>
  <si>
    <t>Read-only источник; прочитано 2026-07-15</t>
  </si>
  <si>
    <t>https://docs.google.com/spreadsheets/d/1bXWqqMn_WEX1mROcWW6VJw00v4iohmZCQ22nI9gUI9M/edit#gid=1404717816</t>
  </si>
  <si>
    <t>57_ЖКХ, CF за июнь 2026</t>
  </si>
  <si>
    <t>05.06.2026</t>
  </si>
  <si>
    <t>Сырица Богдан Альбертович</t>
  </si>
  <si>
    <t>Зарплата сотрудников проекта</t>
  </si>
  <si>
    <t>Сырица Б/ЗП за май 2026 (ГПХ)</t>
  </si>
  <si>
    <t>Прямой расход МДО</t>
  </si>
  <si>
    <t>Киви АО</t>
  </si>
  <si>
    <t>Услуги банка</t>
  </si>
  <si>
    <t>Шевцов Александр Михайлович</t>
  </si>
  <si>
    <t>Шевцов А/ЗП за май 2026 (ГПХ)</t>
  </si>
  <si>
    <t>Кухарь Ксения Александровна</t>
  </si>
  <si>
    <t>Кухарь К/ЗП за май 2026 (СМЗ)</t>
  </si>
  <si>
    <t>НДФЛ, НПД с з/п сотрудников проекта</t>
  </si>
  <si>
    <t>Простые решения ООО</t>
  </si>
  <si>
    <t>Коробейников Алексей Станиславович</t>
  </si>
  <si>
    <t>Коробейников А/ЗП за май 2026 (СМЗ)</t>
  </si>
  <si>
    <t>08.06.2026</t>
  </si>
  <si>
    <t>Медунова (Костюкевич) Юлия Ильинична</t>
  </si>
  <si>
    <t>Премии и бонусы сотрудникам ГК</t>
  </si>
  <si>
    <t>Медунова (Костюкевич) Ю.И. / Бонус за май 2026 г. (ГПХ)</t>
  </si>
  <si>
    <t>ПАО СБЕРБАНК</t>
  </si>
  <si>
    <t>Комиссия за услугу "Информирование о поступлении и списании средств по банковским счетам в валюте РФ" за период с 08.06.2026 по 08.07.2026 по договору от 29.08.2019 № 243275547</t>
  </si>
  <si>
    <t>09.06.2026</t>
  </si>
  <si>
    <t>Скоробогатов (1) Андрей Владимирович</t>
  </si>
  <si>
    <t>Скоробогатов А/ЗП за май 2026 (СМЗ)</t>
  </si>
  <si>
    <t>Амосов Станислав Владимирович</t>
  </si>
  <si>
    <t>Амосов С/ЗП за май 2026 1 часть (СМЗ)</t>
  </si>
  <si>
    <t>10.06.2026</t>
  </si>
  <si>
    <t>Сайдулин Леонид Игоревич</t>
  </si>
  <si>
    <t>Сайдулин Р/ЗП за май 2026 (СМЗ)</t>
  </si>
  <si>
    <t>Амосов С/ЗП за май 2026 2 часть (СМЗ)</t>
  </si>
  <si>
    <t>18.06.2026</t>
  </si>
  <si>
    <t>Шевцов А/Премия за май 2026 (ГПХ)</t>
  </si>
  <si>
    <t>Дамир Саидов (верстальщик)</t>
  </si>
  <si>
    <t>Реклама, рекламные ресурсы для продвижения</t>
  </si>
  <si>
    <t>ЖКХ: Мой дом онлайн / Услуги веб-разработчика по верстке калькулятора на сайте / май 2026</t>
  </si>
  <si>
    <t>Бэст стафф-Транскапиталбанк</t>
  </si>
  <si>
    <t>19.06.2026</t>
  </si>
  <si>
    <t>claude.ai</t>
  </si>
  <si>
    <t>Программное обеспечение</t>
  </si>
  <si>
    <t>Бахромов М./Возмещение за оплату Claude-AI/ июнь 2026</t>
  </si>
  <si>
    <t>Кухарь К/Премия за май 2026 (СМЗ)</t>
  </si>
  <si>
    <t>НДФЛ, НПД с з/п сотрудников ГК</t>
  </si>
  <si>
    <t>Скоробогатов А/Премия за май 2026 (СМЗ)</t>
  </si>
  <si>
    <t>Коробейников А/Премия за май 2026 (СМЗ)</t>
  </si>
  <si>
    <t>30.06.2026</t>
  </si>
  <si>
    <t>HeadHunter (HR)</t>
  </si>
  <si>
    <t>Подбор персонала</t>
  </si>
  <si>
    <t>Распределение расходов с интернет-ресурса для подбора персонала в ГК/Июнь 2026</t>
  </si>
  <si>
    <t>Аллокация ГК</t>
  </si>
  <si>
    <t>Распределенный расход ГК, отнесенный на МДО</t>
  </si>
  <si>
    <t>Распределение расходов с интернет-ресурса для подбора персонала в ГК/Июнь(публикации) 2026</t>
  </si>
  <si>
    <t>Roistat.com</t>
  </si>
  <si>
    <t>Распределение/ ЖКХ: Мой дом онлайн/ Roistat/ июнь 2026</t>
  </si>
  <si>
    <t>Электронные сервисы Маркетинга</t>
  </si>
  <si>
    <t>Распределение/ coldy.ai/ Оплата сервиса Email-Аутрича/ июнь 2026</t>
  </si>
  <si>
    <t>Вспомогат. ресурсы для продвижения</t>
  </si>
  <si>
    <t>Распределение/ Расходы seo/ Topvisor/ июнь 2026</t>
  </si>
  <si>
    <t>ООО «ЛайфТелеком»</t>
  </si>
  <si>
    <t>Оплата поставщику за товары, работы, услуги</t>
  </si>
  <si>
    <t>Мой Дом Онлайн/ Оплата за ВАТС Телфин</t>
  </si>
  <si>
    <t>Включено по месяцу начисления июнь; назначение содержит предоплату, нужен контроль акта/остатка</t>
  </si>
  <si>
    <t>Внесение предоплаты "WOE59270" по счету WOE59270/2506 от 25.06.2026 г. Сумма 50000-00 В т.ч. НДС(22%) 9016-39 ID:f51316b5-745b-11f1-af1c-005056955331</t>
  </si>
  <si>
    <t>98_Забаланс, CF за июнь 2026</t>
  </si>
  <si>
    <t>01.06.2026</t>
  </si>
  <si>
    <t>Комиссия за перечисление средств со счета в валюте РФ в другие банки (кредитные организации, Банк России) по системе БЭСП. Без НДС. Договор РКО №40702810716540062640 от 28.08.2019</t>
  </si>
  <si>
    <t>СМАРТФ, ООО</t>
  </si>
  <si>
    <t>ВКО между р/с</t>
  </si>
  <si>
    <t>Исключено из P&amp;L</t>
  </si>
  <si>
    <t>Нет</t>
  </si>
  <si>
    <t>ВКО / внутренний перевод; не является расходом P&amp;L</t>
  </si>
  <si>
    <t>Городская реклама ООО</t>
  </si>
  <si>
    <t>ВКО между МХ</t>
  </si>
  <si>
    <t>Оплата за услуги колл-центра и сопровождения клиентов по счету №110 от 29.05.2026г. НДС не облагается.</t>
  </si>
  <si>
    <t>Бренд Лаборатория ООО</t>
  </si>
  <si>
    <t>Оплата за доработку программного модуля "Система мониторинга и анализа эксплуатации МКД" по счету № 79 от 29.05.2026г. НДС не облагается.</t>
  </si>
  <si>
    <t>Саитов Д./Возмещение за оплату Claude-AI/ май 2026</t>
  </si>
  <si>
    <t>Мотусков К./Возмещение за оплату Claude-AI/ июнь 2026</t>
  </si>
  <si>
    <t>03.06.2026</t>
  </si>
  <si>
    <t>ЯНДЕКС.ОБЛАКО</t>
  </si>
  <si>
    <t>Мой Дом Онлайн/Яндекс.Облако/06.26</t>
  </si>
  <si>
    <t>Оплата за услуги использования сервисов платформы "Яндекс.Облако" по лицевому счету № ЛСО-3379672502-1 от 01.06.2026г. Сумма 25000-00 В т.ч. НДС(22%) 4508-20 ID:42e713bf-5f19-11f1-aedf-005056955331</t>
  </si>
  <si>
    <t>Корсунова А./Возмещение за оплату Claude-AI/ июнь 2026</t>
  </si>
  <si>
    <t>Компенсации по реестру №19 от 05.06.2026 в соответствии с Договором 83360577 от 29.10.2024</t>
  </si>
  <si>
    <t>Оплата за доработку программного модуля "Система мониторинга и анализа эксплуатации МКД" по счету № 82 от 03.06.2026 г. НДС не облагается.</t>
  </si>
  <si>
    <t>Оплата за услуги колл-центра и сопровождения клиентов по счету № 116 от 04.06.2026 г. НДС не облагается.</t>
  </si>
  <si>
    <t>Сайдулин Л./Возмещение за оплату Open Router/ июнь 2026</t>
  </si>
  <si>
    <t>Комиссия за блокировку средств по запросу АО РАД по заявке MSPSET-967208652</t>
  </si>
  <si>
    <t>11.06.2026</t>
  </si>
  <si>
    <t>ООО "СМС-центр"</t>
  </si>
  <si>
    <t>Мой Дом Онлайн/ оплата за рассылку SMS через SMS Центр/06.26</t>
  </si>
  <si>
    <t>Оплата за доступ к сервису SMSC.RU по договору №460871 от 15.09.2021 г. Счет на оплату № 2227506 от 06.06.2026 г. Сумма 60000-00 В т.ч. НДС(22%) 10819-67 ID:b5313c0d-6561-11f1-aef2-005056955331</t>
  </si>
  <si>
    <t>ООО "Хостинг-технологии"</t>
  </si>
  <si>
    <t>Мой Дом Онлайн/ оплата за хостинг vdsina/06.26</t>
  </si>
  <si>
    <t>Пополнение баланса аккаунта a81768 по операции №118420139 по счету № 118420139/81768 от 06.06.2026 г. Сумма 40000-00 В т.ч. НДС(22%) 7213-11 ID:8da33cc6-6562-11f1-aef2-005056955331</t>
  </si>
  <si>
    <t>15.06.2026</t>
  </si>
  <si>
    <t>Комиссия за услугу "Выписки по расписанию" за период с 15.06.2026 по 15.07.2026 по договору ДБО 243275547, от 29.08.2019.</t>
  </si>
  <si>
    <t>16.06.2026</t>
  </si>
  <si>
    <t>Сайдулин Л./Возмещение за оплату Open ai( gpt)/ июнь 2026</t>
  </si>
  <si>
    <t>22.06.2026</t>
  </si>
  <si>
    <t>Иванов Андрей</t>
  </si>
  <si>
    <t>Зарплата сотрудников ГК</t>
  </si>
  <si>
    <t>Иванов А/Аванс за июнь 2026 (ТК)</t>
  </si>
  <si>
    <t>25.06.2026</t>
  </si>
  <si>
    <t>gemini.google.com</t>
  </si>
  <si>
    <t>Бахромов М./Возмещение за оплату Gemini-AI/ июнь 2026</t>
  </si>
  <si>
    <t>ООО "66 Бит"</t>
  </si>
  <si>
    <t>Покупка ОС, НМА</t>
  </si>
  <si>
    <t>Мой Дом Онлайн/ Оплата за разработку ПО подрядчику /июнь 2026</t>
  </si>
  <si>
    <t>66bit</t>
  </si>
  <si>
    <t>Инвестиционная разработка по договору №121</t>
  </si>
  <si>
    <t>Оплата за выполнение работ по разработке программного обеспечения в рамках договора № 121 от 21.01.2026 г., по счету № 527/1 от 27.05.2026 г. Сумма 1189120-91 В т.ч. НДС(5%) 56624-81 ID:42fa465f-706c-11f1-af10</t>
  </si>
  <si>
    <t>29.06.2026</t>
  </si>
  <si>
    <t>Казначейство России (ФНС России)</t>
  </si>
  <si>
    <t>Отчисления в фонды с з/п участников, директоров и 3х лиц</t>
  </si>
  <si>
    <t>По решению о взыскании от 29.06.2026 № 12263 по ст.46 НК РФ</t>
  </si>
  <si>
    <t>УФК по г. Москве (ОСФР ПО Г. МОСКВЕ И МОСКОВСКОЙ ОБЛАСТИ, л/с 04734Ф73010)</t>
  </si>
  <si>
    <t>Отчисления в фонды с з/п сотрудников ГК</t>
  </si>
  <si>
    <t>ЖКХ:Мой дом онлайн / ФСС НС гендира / январь-май 2026 г.</t>
  </si>
  <si>
    <t>Страховые взносы на ОСС от несчастных случаев на производстве и профессиональных заболеваний. Сумма 311-65 НДС не облагается ID:1dd0c504-7399-11f1-af1a-005056955331</t>
  </si>
  <si>
    <t>ЖКХ: Мой дом онлайн / СВ на гендира / май 2026 г.</t>
  </si>
  <si>
    <t>Единый налоговый платеж Сумма 9349-50 НДС не облагается ID:ec80d1dc-7398-11f1-af1a-005056955331</t>
  </si>
  <si>
    <t>ЖКХ:Мой дом онлайн / НДФЛ гендир / май 2026 г.</t>
  </si>
  <si>
    <t>Единый налоговый платеж. НДФЛ Сумма 4051-00 НДС не облагается ID:fc129387-7398-11f1-af1a-005056955331</t>
  </si>
  <si>
    <t>Иванов А/ЗП за июнь 2026 (ТК)</t>
  </si>
  <si>
    <t>Проверка</t>
  </si>
  <si>
    <t>Значение</t>
  </si>
  <si>
    <t>Статус</t>
  </si>
  <si>
    <t>Комментарий</t>
  </si>
  <si>
    <t>Обычный CF: детализация</t>
  </si>
  <si>
    <t>PASS</t>
  </si>
  <si>
    <t>Сумма всех расходных операций, без строки ВСЕГО</t>
  </si>
  <si>
    <t>Обычный CF: итог отчета</t>
  </si>
  <si>
    <t>CF, общий итог</t>
  </si>
  <si>
    <t>Обычный CF: разница</t>
  </si>
  <si>
    <t>Детализация минус итог</t>
  </si>
  <si>
    <t>Забаланс: детализация</t>
  </si>
  <si>
    <t>Забаланс: итог отчета</t>
  </si>
  <si>
    <t>Забаланс: ВКО исключено</t>
  </si>
  <si>
    <t>ВКО между МХ и р/с не включено в P&amp;L</t>
  </si>
  <si>
    <t>Забаланс: после ВКО</t>
  </si>
  <si>
    <t>Операционные + инвестиционные расходы</t>
  </si>
  <si>
    <t>Забаланс: операционные + 66bit</t>
  </si>
  <si>
    <t>222 411,53 + 1 189 120,91</t>
  </si>
  <si>
    <t>Позднее закрытие апреля</t>
  </si>
  <si>
    <t>Отнесено в Апр-26</t>
  </si>
  <si>
    <t>Позднее закрытие мая</t>
  </si>
  <si>
    <t>Отнесено в Май-26</t>
  </si>
  <si>
    <t>Июнь: прямые OPEX МДО</t>
  </si>
  <si>
    <t>Без разработки и без аллокации</t>
  </si>
  <si>
    <t>Июнь: аллокация ГК</t>
  </si>
  <si>
    <t>HeadHunter, Roistat, Coldy, Topvisor</t>
  </si>
  <si>
    <t>Июнь: 66bit</t>
  </si>
  <si>
    <t>Фактический платеж июня</t>
  </si>
  <si>
    <t>Июнь: разработка МДО</t>
  </si>
  <si>
    <t>MANUAL</t>
  </si>
  <si>
    <t>Отдельный управленческий ввод владельца модели; отсутствие суммы в CF не является расхождением</t>
  </si>
  <si>
    <t>Показатель</t>
  </si>
  <si>
    <t>Что входит</t>
  </si>
  <si>
    <t>Что не входит</t>
  </si>
  <si>
    <t>Источник / формула</t>
  </si>
  <si>
    <t>Факт поступлений МДО за месяц</t>
  </si>
  <si>
    <t>Внутренние переводы и возвраты депозитов</t>
  </si>
  <si>
    <t>Мега-таблица, вкладка Аккаунты, строка Факт отдела на р/с</t>
  </si>
  <si>
    <t>Прямые операционные расходы</t>
  </si>
  <si>
    <t>Зарплаты операционной команды, налоги, ПО, связь, серверы, банк, подрядчики и другие расходы МДО из CF</t>
  </si>
  <si>
    <t>Разработчики, аллокация ГК, выплаты учредителям, 66 Бит и отдельные проекты разработки</t>
  </si>
  <si>
    <t>ЖКХ + Забаланс; учет по месяцу начисления; ВКО исключаются</t>
  </si>
  <si>
    <t>Полная стоимость текущей команды разработки, отдельно зафиксированная владельцем модели</t>
  </si>
  <si>
    <t>66 Бит и отдельные проектные подрядчики</t>
  </si>
  <si>
    <t>Отдельный управленческий ввод; в CF зарплаты разработчиков не отражены</t>
  </si>
  <si>
    <t>Прямые операционные расходы + разработка МДО</t>
  </si>
  <si>
    <t>Аллокация ГК и разовые выплаты</t>
  </si>
  <si>
    <t>E = C + D</t>
  </si>
  <si>
    <t>Общие услуги и расходы ГК, распределенные на МДО: HR, юристы, маркетинговые сервисы, АХО и аналогичные услуги</t>
  </si>
  <si>
    <t>Прямые расходы МДО и команда разработки</t>
  </si>
  <si>
    <t>Операции CF с признаком распределения / согласованная аллокация</t>
  </si>
  <si>
    <t>Операционный результат</t>
  </si>
  <si>
    <t>Результат основной деятельности после прямых OPEX, разработки и аллокации</t>
  </si>
  <si>
    <t>Выплаты учредителям, 66 Бит и отдельные проектные выплаты</t>
  </si>
  <si>
    <t>G = B - E - F</t>
  </si>
  <si>
    <t>Распределение денежных средств собственникам и связанные комиссии</t>
  </si>
  <si>
    <t>Операционные расходы</t>
  </si>
  <si>
    <t>Отдельные операции CF / ручной ввод при отсутствии операции в CF</t>
  </si>
  <si>
    <t>Платежи подрядчику по договору разработки</t>
  </si>
  <si>
    <t>Текущая команда разработки МДО</t>
  </si>
  <si>
    <t>CF либо отдельный управленческий ввод, если платеж не отражен в CF</t>
  </si>
  <si>
    <t>Отдельные проекты разработки</t>
  </si>
  <si>
    <t>Разовые выплаты внешним подрядчикам, например ООО «Бренд Лаборатория»</t>
  </si>
  <si>
    <t>Городская реклама за колл-центр; текущая команда разработки; 66 Бит</t>
  </si>
  <si>
    <t>Платежи конкретным юридическим лицам по счетам и назначению платежа</t>
  </si>
  <si>
    <t>Операционные расходы, аллокация, выплаты учредителям и подрядчикам</t>
  </si>
  <si>
    <t>Внутренние переводы и депозиты</t>
  </si>
  <si>
    <t>K = E + F + H + I + J</t>
  </si>
  <si>
    <t>Выручка минус все отраженные расходы и выплаты</t>
  </si>
  <si>
    <t>Остаток денег на счете</t>
  </si>
  <si>
    <t>L = B -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</si>
</sst>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[Red](#,##0.00);-"/>
  </numFmts>
  <fonts count="7">
    <font>
      <sz val="10.0"/>
      <color rgb="FF000000"/>
      <name val="Arial"/>
      <scheme val="minor"/>
    </font>
    <font>
      <b/>
      <sz val="12.0"/>
      <color rgb="FF000000"/>
      <name val="Montserrat"/>
    </font>
    <font>
      <sz val="12.0"/>
      <color theme="1"/>
      <name val="Arial"/>
      <scheme val="minor"/>
    </font>
    <font>
      <sz val="11.0"/>
      <color rgb="FF000000"/>
      <name val="Montserrat"/>
    </font>
    <font>
      <sz val="11.0"/>
      <color theme="1"/>
      <name val="Montserrat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63A5C"/>
      </left>
      <top style="thin">
        <color rgb="FF163A5C"/>
      </top>
      <bottom style="thin">
        <color rgb="FF163A5C"/>
      </bottom>
    </border>
    <border>
      <top style="thin">
        <color rgb="FF163A5C"/>
      </top>
      <bottom style="thin">
        <color rgb="FF163A5C"/>
      </bottom>
    </border>
    <border>
      <right style="thin">
        <color rgb="FF163A5C"/>
      </right>
      <top style="thin">
        <color rgb="FF163A5C"/>
      </top>
      <bottom style="thin">
        <color rgb="FF163A5C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1" fillId="0" fontId="3" numFmtId="49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right" shrinkToFit="0" vertical="center" wrapText="1"/>
    </xf>
    <xf borderId="1" fillId="0" fontId="4" numFmtId="164" xfId="0" applyAlignment="1" applyBorder="1" applyFont="1" applyNumberFormat="1">
      <alignment horizontal="right" vertical="bottom"/>
    </xf>
    <xf borderId="0" fillId="0" fontId="4" numFmtId="0" xfId="0" applyFont="1"/>
    <xf borderId="1" fillId="0" fontId="4" numFmtId="16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shrinkToFit="0" vertical="top" wrapText="1"/>
    </xf>
    <xf borderId="5" fillId="0" fontId="6" numFmtId="164" xfId="0" applyAlignment="1" applyBorder="1" applyFont="1" applyNumberFormat="1">
      <alignment shrinkToFit="0" vertical="top" wrapText="1"/>
    </xf>
    <xf borderId="6" fillId="0" fontId="6" numFmtId="0" xfId="0" applyAlignment="1" applyBorder="1" applyFont="1">
      <alignment shrinkToFit="0" vertical="top" wrapText="1"/>
    </xf>
    <xf borderId="6" fillId="0" fontId="6" numFmtId="164" xfId="0" applyAlignment="1" applyBorder="1" applyFont="1" applyNumberFormat="1">
      <alignment shrinkToFit="0" vertical="top" wrapText="1"/>
    </xf>
    <xf borderId="7" fillId="0" fontId="6" numFmtId="0" xfId="0" applyAlignment="1" applyBorder="1" applyFont="1">
      <alignment shrinkToFit="0" vertical="top" wrapText="1"/>
    </xf>
    <xf borderId="7" fillId="0" fontId="6" numFmtId="164" xfId="0" applyAlignment="1" applyBorder="1" applyFont="1" applyNumberFormat="1">
      <alignment shrinkToFit="0" vertical="top" wrapText="1"/>
    </xf>
    <xf borderId="0" fillId="0" fontId="5" numFmtId="0" xfId="0" applyAlignment="1" applyFont="1">
      <alignment shrinkToFit="0" vertical="bottom" wrapText="1"/>
    </xf>
    <xf borderId="7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ser" id="{e2a4748b-07a1-4d1a-9de5-f8c53b92d00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0" dT="2026-07-18T20:19:30.00" personId="{e2a4748b-07a1-4d1a-9de5-f8c53b92d001}" id="{35cf3d74-6710-468a-b329-a08f5802578d}" done="1">
    <x18tc:text xml:space="preserve">Июнь 2026 — отдельный управленческий ввод полной стоимости команды разработки. Отсутствие суммы в июньских CF ожидаемо и не является расхождением.</x18tc:text>
  </x18tc:threadedComment>
  <x18tc:threadedComment ref="A5" dT="2026-07-18T20:19:30.00" personId="{e2a4748b-07a1-4d1a-9de5-f8c53b92d001}" id="{0455420b-7824-4de4-b8c4-d8f6ccecc213}" done="0">
    <x18tc:text xml:space="preserve">Январь: часть значений является отдельным управленческим вводом, потому что полного январского CF в комплекте нет.</x18tc:text>
  </x18tc:threadedComment>
  <x18tc:threadedComment ref="B2" dT="2026-07-18T20:19:30.00" personId="{e2a4748b-07a1-4d1a-9de5-f8c53b92d001}" id="{8972d20d-96d3-4315-8fe3-cbd29687c276}" done="0">
    <x18tc:text xml:space="preserve">Выручка за октябрь 2025 сохранена из исходной управленческой таблицы. Рабочий источник: Мега-таблица, вкладка Аккаунты, строка Факт отдела на р/с.</x18tc:text>
  </x18tc:threadedComment>
  <x18tc:threadedComment ref="A6" dT="2026-07-18T20:19:30.00" personId="{e2a4748b-07a1-4d1a-9de5-f8c53b92d001}" id="{b20121e1-7f62-4e44-8010-916897fe5520}" done="0">
    <x18tc:text xml:space="preserve">Февраль: прямые расходы собраны из февральского CF и поздних начислений; разработка учтена отдельно.</x18tc:text>
  </x18tc:threadedComment>
  <x18tc:threadedComment ref="G2" dT="2026-07-18T20:19:30.00" personId="{e2a4748b-07a1-4d1a-9de5-f8c53b92d001}" id="{ec6ced09-e141-4db8-99ce-19c75866a0cc}" done="0">
    <x18tc:text xml:space="preserve">HeadHunter — 3 956 руб.</x18tc:text>
  </x18tc:threadedComment>
  <x18tc:threadedComment ref="D6" dT="2026-07-18T20:19:30.00" personId="{e2a4748b-07a1-4d1a-9de5-f8c53b92d001}" id="{5e44df59-42e2-4f6b-95fc-39728b41cb73}" done="1">
    <x18tc:text xml:space="preserve">Февраль 2026 — отдельный управленческий ввод полной стоимости команды разработки. Табель используется для состава и трудозатрат, CF не является источником этой суммы.</x18tc:text>
  </x18tc:threadedComment>
  <x18tc:threadedComment ref="A2" dT="2026-07-18T20:19:30.00" personId="{e2a4748b-07a1-4d1a-9de5-f8c53b92d001}" id="{8ea69773-1048-497f-9bd1-0ddff77a83d5}" done="0">
    <x18tc:text xml:space="preserve">Октябрь: прямые OPEX из отчета по начислению + отдельная стоимость разработки + аллокация HeadHunter.</x18tc:text>
  </x18tc:threadedComment>
  <x18tc:threadedComment ref="F1" dT="2026-07-18T20:19:30.00" personId="{e2a4748b-07a1-4d1a-9de5-f8c53b92d001}" id="{9a3a6bc5-4ec6-4a35-a935-89f7bf18e74e}" done="0">
    <x18tc:text xml:space="preserve">Операционные расходы МДО всего = прямые операционные расходы из CF + отдельно учтенная команда разработки.</x18tc:text>
  </x18tc:threadedComment>
  <x18tc:threadedComment ref="C7" dT="2026-07-18T20:19:30.00" personId="{e2a4748b-07a1-4d1a-9de5-f8c53b92d001}" id="{c8ad7f91-7580-4f83-aae5-0d7931a11cc2}" done="0">
    <x18tc:text xml:space="preserve">Март 2026 — 1 056 685,13 руб. Состав: зарплата 547 181,96; премии 232 369,91; налоги/взносы/УСН 221 061,29; хостинг 40 000; банк 8 871,97; сайт/маркетинг 7 200. Курьер ГК 2 804,77 вынесен в аллокацию. Источники: февральский, апрельские и майский CF по месяцу начисления.</x18tc:text>
  </x18tc:threadedComment>
  <x18tc:threadedComment ref="D3" dT="2026-07-18T20:19:30.00" personId="{e2a4748b-07a1-4d1a-9de5-f8c53b92d001}" id="{3797d534-c7b8-4d4d-a015-1905cb387a02}" done="1">
    <x18tc:text xml:space="preserve">Ноябрь 2025 — отдельный управленческий ввод полной стоимости команды разработки. Не входит в прямые CF-расходы и не дублирует их.</x18tc:text>
  </x18tc:threadedComment>
  <x18tc:threadedComment ref="G5" dT="2026-07-18T20:19:30.00" personId="{e2a4748b-07a1-4d1a-9de5-f8c53b92d001}" id="{016f50b0-50f7-470c-aaea-a43514264799}" done="0">
    <x18tc:text xml:space="preserve">Аллокация ГК в текущей таблице за январь не отражена.</x18tc:text>
  </x18tc:threadedComment>
  <x18tc:threadedComment ref="B4" dT="2026-07-18T20:19:30.00" personId="{e2a4748b-07a1-4d1a-9de5-f8c53b92d001}" id="{8c16b091-c0c2-4538-98dc-1fa30561d809}" done="0">
    <x18tc:text xml:space="preserve">Выручка за декабрь 2025 сохранена из исходной управленческой таблицы. Рабочий источник: Мега-таблица, вкладка Аккаунты, строка Факт отдела на р/с.</x18tc:text>
  </x18tc:threadedComment>
  <x18tc:threadedComment ref="A10" dT="2026-07-18T20:19:30.00" personId="{e2a4748b-07a1-4d1a-9de5-f8c53b92d001}" id="{3a6719bf-bdd8-4e80-b64e-69a642f586f8}" done="0">
    <x18tc:text xml:space="preserve">Июнь: прямые OPEX и аллокация сверены по двум CF; разработка — отдельный ввод; 66 Бит — отдельная выплата.</x18tc:text>
  </x18tc:threadedComment>
  <x18tc:threadedComment ref="G4" dT="2026-07-18T20:19:30.00" personId="{e2a4748b-07a1-4d1a-9de5-f8c53b92d001}" id="{add00231-1d77-4620-8c59-b1c6a7fa1699}" done="0">
    <x18tc:text xml:space="preserve">HeadHunter — 4 850; почтовые услуги — 1 100; курьер — 500. Итого 6 450 руб.</x18tc:text>
  </x18tc:threadedComment>
  <x18tc:threadedComment ref="C6" dT="2026-07-18T20:19:30.00" personId="{e2a4748b-07a1-4d1a-9de5-f8c53b92d001}" id="{97d5b1e7-405b-4c95-a655-8c46fce98647}" done="0">
    <x18tc:text xml:space="preserve">Февраль 2026 — 363 096,50 руб. Состав: связь/Интернет 316 800; реклама 17 000; аренда 15 100; поздние налоги и взносы 13 400,50; банк 796. HeadHunter 2 400 вынесен в аллокацию. Источники: 64_ЖКХ за февраль и поздние начисления из 108_Забаланс за апрель.</x18tc:text>
  </x18tc:threadedComment>
  <x18tc:threadedComment ref="I1" dT="2026-07-18T20:19:30.00" personId="{e2a4748b-07a1-4d1a-9de5-f8c53b92d001}" id="{1215e2e6-bb90-4552-9675-06a895af5c72}" done="0">
    <x18tc:text xml:space="preserve">Это выплаты собственникам, а не операционные расходы P&amp;L.</x18tc:text>
  </x18tc:threadedComment>
  <x18tc:threadedComment ref="J1" dT="2026-07-18T20:19:30.00" personId="{e2a4748b-07a1-4d1a-9de5-f8c53b92d001}" id="{985b3c59-2702-456f-8084-a911db193e31}" done="0">
    <x18tc:text xml:space="preserve">Платежи ООО «66 Бит» показываются отдельно от текущей команды разработки МДО.</x18tc:text>
  </x18tc:threadedComment>
  <x18tc:threadedComment ref="J5" dT="2026-07-18T20:19:30.00" personId="{e2a4748b-07a1-4d1a-9de5-f8c53b92d001}" id="{388d2ea3-ae0f-4e13-9e6b-8b188aa22a0a}" done="0">
    <x18tc:text xml:space="preserve">Январь 2026 — 594 560,45 руб. Отдельный управленческий ввод: платеж отсутствует в доступных отчетах ЖКХ/Забаланс, но зафиксирован владельцем модели.</x18tc:text>
  </x18tc:threadedComment>
  <x18tc:threadedComment ref="D5" dT="2026-07-18T20:19:30.00" personId="{e2a4748b-07a1-4d1a-9de5-f8c53b92d001}" id="{9a2bc908-11f4-4023-bed1-6fd8905523b3}" done="1">
    <x18tc:text xml:space="preserve">Январь 2026 — отдельный управленческий ввод полной стоимости команды разработки. Зарплаты разработчиков отсутствуют в отчетах ЖКХ/Забаланс.</x18tc:text>
  </x18tc:threadedComment>
  <x18tc:threadedComment ref="D4" dT="2026-07-18T20:19:30.00" personId="{e2a4748b-07a1-4d1a-9de5-f8c53b92d001}" id="{1d305bb2-5e80-4028-ab3b-afc1b2dfc874}" done="1">
    <x18tc:text xml:space="preserve">Декабрь 2025 — отдельный управленческий ввод полной стоимости команды разработки. Не смешивается с выплатами учредителям и внешними подрядчиками.</x18tc:text>
  </x18tc:threadedComment>
  <x18tc:threadedComment ref="D8" dT="2026-07-18T20:19:30.00" personId="{e2a4748b-07a1-4d1a-9de5-f8c53b92d001}" id="{ba00f1fa-b247-42a2-a1db-eb2c1136a40d}" done="1">
    <x18tc:text xml:space="preserve">Апрель 2026 — отдельный управленческий ввод полной стоимости команды разработки. Сумма сохранена из рабочей таблицы владельца модели.</x18tc:text>
  </x18tc:threadedComment>
  <x18tc:threadedComment ref="L1" dT="2026-07-18T20:19:30.00" personId="{e2a4748b-07a1-4d1a-9de5-f8c53b92d001}" id="{d33d304f-644b-432e-85f5-02d0e389d1af}" done="0">
    <x18tc:text xml:space="preserve">Сумма операционных расходов, аллокации и всех разовых выплат. Это денежные оттоки, а не только расходы P&amp;L.</x18tc:text>
  </x18tc:threadedComment>
  <x18tc:threadedComment ref="H1" dT="2026-07-18T20:19:30.00" personId="{e2a4748b-07a1-4d1a-9de5-f8c53b92d001}" id="{c0fb356c-235f-4109-8a16-51b40d7b44e6}" done="0">
    <x18tc:text xml:space="preserve">Операционный результат = выручка минус прямые OPEX, разработка МДО и аллокация ГК. Это результат основной деятельности до выплат учредителям и внешним проектным подрядчикам.</x18tc:text>
  </x18tc:threadedComment>
  <x18tc:threadedComment ref="C10" dT="2026-07-18T20:19:30.00" personId="{e2a4748b-07a1-4d1a-9de5-f8c53b92d001}" id="{0ae62a74-7033-4d02-a826-d6e40a8dec57}" done="0">
    <x18tc:text xml:space="preserve">Июнь 2026 — 241 414 руб. 57_ЖКХ: прямые расходы 59 125,76; 98_Забаланс: прямые расходы 182 288,24. ВКО 6 018 607,69 исключены. Аллокация 34 337,48 и выплата 66 Бит 1 189 120,91 показаны отдельно. Детальные операции находятся на листе Детализация_июнь.</x18tc:text>
  </x18tc:threadedComment>
  <x18tc:threadedComment ref="B5" dT="2026-07-18T20:19:30.00" personId="{e2a4748b-07a1-4d1a-9de5-f8c53b92d001}" id="{7d0d93d0-4b0d-49dc-aa7e-f89045a7a5ad}" done="0">
    <x18tc:text xml:space="preserve">Выручка за январь 2026 сохранена из исходной управленческой таблицы. Рабочий источник: Мега-таблица, вкладка Аккаунты, строка Факт отдела на р/с.</x18tc:text>
  </x18tc:threadedComment>
  <x18tc:threadedComment ref="G9" dT="2026-07-18T20:19:30.00" personId="{e2a4748b-07a1-4d1a-9de5-f8c53b92d001}" id="{c39a87b0-c729-4177-8157-8458882c061a}" done="0">
    <x18tc:text xml:space="preserve">HeadHunter — 17 500 руб.</x18tc:text>
  </x18tc:threadedComment>
  <x18tc:threadedComment ref="K1" dT="2026-07-18T20:19:30.00" personId="{e2a4748b-07a1-4d1a-9de5-f8c53b92d001}" id="{51f60848-2011-43d1-81d4-654cf79c3334}" done="0">
    <x18tc:text xml:space="preserve">Разовые выплаты по отдельным проектам разработки. В мае здесь отражено ООО «Бренд Лаборатория», а не ООО «Городская реклама».</x18tc:text>
  </x18tc:threadedComment>
  <x18tc:threadedComment ref="C4" dT="2026-07-18T20:19:30.00" personId="{e2a4748b-07a1-4d1a-9de5-f8c53b92d001}" id="{2dbccc7d-b1f6-4d1a-98d9-38252bbf650e}" done="0">
    <x18tc:text xml:space="preserve">Декабрь 2025 — 1 014 219,16 руб. База сформирована из отчета по начислению за октябрь–декабрь и поздних начислений из последующих CF. В доступном комплекте нет единого реестра, полностью раскладывающего текущую итоговую сумму; значение сохранено как согласованный управленческий итог. Выплаты учредителям 6 035 451,01 показаны отдельно.</x18tc:text>
  </x18tc:threadedComment>
  <x18tc:threadedComment ref="C2" dT="2026-07-18T20:19:30.00" personId="{e2a4748b-07a1-4d1a-9de5-f8c53b92d001}" id="{dc07853c-7b1d-4d95-9895-b6a47087152a}" done="0">
    <x18tc:text xml:space="preserve">Октябрь 2025 — 704 273,25 руб. Источник: отчет расходов МДО по начислению за октябрь–декабрь 2025. Состав: зарплата 513 352,53; премии 140 577,98; налоги 29 954,80; сайт/маркетинг 10 920; банк 7 467,94; подарки/матпомощь 2 000. HeadHunter 3 956 вынесен в аллокацию ГК.</x18tc:text>
  </x18tc:threadedComment>
  <x18tc:threadedComment ref="G3" dT="2026-07-18T20:19:30.00" personId="{e2a4748b-07a1-4d1a-9de5-f8c53b92d001}" id="{03c4dd0e-0d7b-426f-a54a-fc19a6265473}" done="0">
    <x18tc:text xml:space="preserve">Юридические услуги — 39 000; HeadHunter — 16 636; регистрация/обслуживание ЮЛ — 1 600; доставка SIM — 722. Итого 57 958 руб.</x18tc:text>
  </x18tc:threadedComment>
  <x18tc:threadedComment ref="C5" dT="2026-07-18T20:19:30.00" personId="{e2a4748b-07a1-4d1a-9de5-f8c53b92d001}" id="{f20532e7-5c69-4967-b052-042b232bb994}" done="0">
    <x18tc:text xml:space="preserve">Январь 2026 — 673 585,69 руб. Значение сохранено как согласованный управленческий итог. Полный январский CF/реестр операций отсутствует в доступном комплекте, поэтому детальная защита суммы требует исходного январского документа. Разработка и 66 Бит показаны отдельно.</x18tc:text>
  </x18tc:threadedComment>
  <x18tc:threadedComment ref="B3" dT="2026-07-18T20:19:30.00" personId="{e2a4748b-07a1-4d1a-9de5-f8c53b92d001}" id="{36e4579b-1dfe-4fac-983f-cd194f5061e6}" done="0">
    <x18tc:text xml:space="preserve">Выручка за ноябрь 2025 сохранена из исходной управленческой таблицы. Рабочий источник: Мега-таблица, вкладка Аккаунты, строка Факт отдела на р/с.</x18tc:text>
  </x18tc:threadedComment>
  <x18tc:threadedComment ref="J10" dT="2026-07-18T20:19:30.00" personId="{e2a4748b-07a1-4d1a-9de5-f8c53b92d001}" id="{a83458e8-a73b-4906-9f25-03439995c811}" done="0">
    <x18tc:text xml:space="preserve">98_Забаланс, строка 124: ООО «66 Бит», договор №121, выплата 1 189 120,91 руб.</x18tc:text>
  </x18tc:threadedComment>
  <x18tc:threadedComment ref="K9" dT="2026-07-18T20:19:30.00" personId="{e2a4748b-07a1-4d1a-9de5-f8c53b92d001}" id="{ded564d3-d821-476a-b326-08d579428ec4}" done="0">
    <x18tc:text xml:space="preserve">ООО «Бренд Лаборатория»: 12.05.2026 — 2 495 997; 14.05.2026 — 1 501 300. Итого 3 997 297 руб. Назначение: тестирование и доработка программного модуля «Система мониторинга и анализа эксплуатации МКД». Не является выплатой ООО «Городская реклама» и не входит в C9.</x18tc:text>
  </x18tc:threadedComment>
  <x18tc:threadedComment ref="B10" dT="2026-07-18T20:19:30.00" personId="{e2a4748b-07a1-4d1a-9de5-f8c53b92d001}" id="{91d0ed85-28ef-4490-b488-7c9aab9f96c2}" done="0">
    <x18tc:text xml:space="preserve">Источник: Мега-таблица, Аккаунты!W70, Факт отдела на р/с за июнь 2026. Значение прочитано 15.07.2026.</x18tc:text>
  </x18tc:threadedComment>
  <x18tc:threadedComment ref="M1" dT="2026-07-18T20:19:30.00" personId="{e2a4748b-07a1-4d1a-9de5-f8c53b92d001}" id="{1fa591dd-b83f-47e4-884a-b3640c657622}" done="0">
    <x18tc:text xml:space="preserve">Денежный результат периода после всех отраженных расходов и выплат. Не является остатком денег на банковском счете.</x18tc:text>
  </x18tc:threadedComment>
  <x18tc:threadedComment ref="A9" dT="2026-07-18T20:19:30.00" personId="{e2a4748b-07a1-4d1a-9de5-f8c53b92d001}" id="{b2dc3b36-0af1-4cd9-b3e3-c53899f2a410}" done="0">
    <x18tc:text xml:space="preserve">Май: высокий OPEX объясняется оплатой Городской рекламе 3,998 млн за колл-центр; Бренд Лаборатория 3,997 млн вынесена отдельно.</x18tc:text>
  </x18tc:threadedComment>
  <x18tc:threadedComment ref="B7" dT="2026-07-18T20:19:30.00" personId="{e2a4748b-07a1-4d1a-9de5-f8c53b92d001}" id="{55222ad3-1eaf-4fb4-97c6-2404d8fd4312}" done="0">
    <x18tc:text xml:space="preserve">Выручка за март 2026 сохранена из исходной управленческой таблицы. Рабочий источник: Мега-таблица, вкладка Аккаунты, строка Факт отдела на р/с.</x18tc:text>
  </x18tc:threadedComment>
  <x18tc:threadedComment ref="G10" dT="2026-07-18T20:19:30.00" personId="{e2a4748b-07a1-4d1a-9de5-f8c53b92d001}" id="{54fc7709-2375-49d9-9b97-49d028bd4554}" done="0">
    <x18tc:text xml:space="preserve">HeadHunter — 21 900; Roistat — 3 780; Coldy — 8 500; Topvisor — 157,48. Итого 34 337,48 руб.</x18tc:text>
  </x18tc:threadedComment>
  <x18tc:threadedComment ref="B8" dT="2026-07-18T20:19:30.00" personId="{e2a4748b-07a1-4d1a-9de5-f8c53b92d001}" id="{39c0cd59-bd70-4f43-8607-6badb1499bcd}" done="0">
    <x18tc:text xml:space="preserve">Выручка за апрель 2026 сохранена из исходной управленческой таблицы. Рабочий источник: Мега-таблица, вкладка Аккаунты, строка Факт отдела на р/с.</x18tc:text>
  </x18tc:threadedComment>
  <x18tc:threadedComment ref="G8" dT="2026-07-18T20:19:30.00" personId="{e2a4748b-07a1-4d1a-9de5-f8c53b92d001}" id="{de2e82e0-fbd5-4fe3-bd4c-0028f40aebbd}" done="0">
    <x18tc:text xml:space="preserve">HeadHunter — 30 060 руб.</x18tc:text>
  </x18tc:threadedComment>
  <x18tc:threadedComment ref="C9" dT="2026-07-18T20:19:30.00" personId="{e2a4748b-07a1-4d1a-9de5-f8c53b92d001}" id="{cd2fc13b-4375-4294-b3c4-ed7a4217cab9}" done="0">
    <x18tc:text xml:space="preserve">Май 2026 — 5 719 509,17 руб. Состав базы: Городская реклама — колл-центр и сопровождение клиентов 3 998 799; Маинд Крафт — минуты и лицензия голосового бота 659 340; SMS 120 000; хостинг/домены/серверы 108 431; Fastcom — голосовой бот 10 000; исследования/интервью и direct HeadHunter 83 127; зарплата 27 113; ПО 26 002,10; обучение 12 720; банк 3 206,30. Поздние майские расходы из июньских CF — 670 770,77. ООО «Бренд Лаборатория» 3 997 297 сюда не входит и показано отдельно.</x18tc:text>
  </x18tc:threadedComment>
  <x18tc:threadedComment ref="C8" dT="2026-07-18T20:19:30.00" personId="{e2a4748b-07a1-4d1a-9de5-f8c53b92d001}" id="{dd3c5395-5344-48e0-af9e-c6374a38ca3e}" done="0">
    <x18tc:text xml:space="preserve">Апрель 2026 — 830 333,48 руб. Источники: 65_ЖКХ — 10 641,73; 108_Забаланс — 140 333,96; позднее закрытие из 61_ЖКХ — 636 687,15; из 102_Забаланс — 17 608,50; из 98_Забаланс — 25 062,14. HeadHunter 30 060 вынесен в аллокацию. 66 Бит 594 560,45 показан отдельно.</x18tc:text>
  </x18tc:threadedComment>
  <x18tc:threadedComment ref="J8" dT="2026-07-18T20:19:30.00" personId="{e2a4748b-07a1-4d1a-9de5-f8c53b92d001}" id="{e8b335ca-6341-42a7-990f-5d3104ff04fd}" done="0">
    <x18tc:text xml:space="preserve">108_Забаланс, строка 29: ООО «66 Бит», договор №121, выплата 594 560,45 руб.</x18tc:text>
  </x18tc:threadedComment>
  <x18tc:threadedComment ref="D1" dT="2026-07-18T20:19:30.00" personId="{e2a4748b-07a1-4d1a-9de5-f8c53b92d001}" id="{eac75803-7d8e-4014-830b-cf47bd058aab}" done="1">
    <x18tc:text xml:space="preserve">Отдельный управленческий ввод. Зарплаты Корсуновой, Мотускова, Саитова и других разработчиков не отражались в CF, поэтому эта сумма добавляется сверх CF-расходов и не считается дублем.</x18tc:text>
  </x18tc:threadedComment>
  <x18tc:threadedComment ref="A8" dT="2026-07-18T20:19:30.00" personId="{e2a4748b-07a1-4d1a-9de5-f8c53b92d001}" id="{6cd3dd45-37bc-425b-af02-82178d9f9edb}" done="0">
    <x18tc:text xml:space="preserve">Апрель: прямые расходы сверены по операциям ЖКХ и Забаланса, включая позднее закрытие; разработка и 66 Бит отдельно.</x18tc:text>
  </x18tc:threadedComment>
  <x18tc:threadedComment ref="D7" dT="2026-07-18T20:19:30.00" personId="{e2a4748b-07a1-4d1a-9de5-f8c53b92d001}" id="{c6175496-8bdc-49a5-b7e2-64dccee0990a}" done="1">
    <x18tc:text xml:space="preserve">Март 2026 — отдельный управленческий ввод полной стоимости команды разработки. В CF есть только отдельные компенсации ПО, а не зарплаты команды.</x18tc:text>
  </x18tc:threadedComment>
  <x18tc:threadedComment ref="B9" dT="2026-07-18T20:19:30.00" personId="{e2a4748b-07a1-4d1a-9de5-f8c53b92d001}" id="{8e481efe-fddf-4d47-8b46-6b5280ca4af1}" done="0">
    <x18tc:text xml:space="preserve">Выручка за май 2026 сохранена из исходной управленческой таблицы. Рабочий источник: Мега-таблица, вкладка Аккаунты, строка Факт отдела на р/с.</x18tc:text>
  </x18tc:threadedComment>
  <x18tc:threadedComment ref="B6" dT="2026-07-18T20:19:30.00" personId="{e2a4748b-07a1-4d1a-9de5-f8c53b92d001}" id="{afe29df8-edfd-480a-9317-c4b852430901}" done="0">
    <x18tc:text xml:space="preserve">Выручка за февраль 2026 сохранена из исходной управленческой таблицы. Рабочий источник: Мега-таблица, вкладка Аккаунты, строка Факт отдела на р/с.</x18tc:text>
  </x18tc:threadedComment>
  <x18tc:threadedComment ref="G7" dT="2026-07-18T20:19:30.00" personId="{e2a4748b-07a1-4d1a-9de5-f8c53b92d001}" id="{5cbd9263-d86a-4a9d-adc4-7067f9afea19}" done="0">
    <x18tc:text xml:space="preserve">Курьер/АХО ГК — 2 804,77 руб.</x18tc:text>
  </x18tc:threadedComment>
  <x18tc:threadedComment ref="A4" dT="2026-07-18T20:19:30.00" personId="{e2a4748b-07a1-4d1a-9de5-f8c53b92d001}" id="{29b040ef-4379-4dfe-bd4b-43b8adb3ec77}" done="0">
    <x18tc:text xml:space="preserve">Декабрь: операционные расходы и отдельная разработка; выплаты учредителям вынесены из операционного результата.</x18tc:text>
  </x18tc:threadedComment>
  <x18tc:threadedComment ref="C1" dT="2026-07-18T20:19:30.00" personId="{e2a4748b-07a1-4d1a-9de5-f8c53b92d001}" id="{36513cb1-dda7-4a7d-94d6-64c937186739}" done="0">
    <x18tc:text xml:space="preserve">Прямые расходы берутся из операций ЖКХ и Забаланса по месяцу начисления. ВКО, депозиты, внутренние переводы, выплаты учредителям и отдельные подрядчики разработки сюда не входят.</x18tc:text>
  </x18tc:threadedComment>
  <x18tc:threadedComment ref="G6" dT="2026-07-18T20:19:30.00" personId="{e2a4748b-07a1-4d1a-9de5-f8c53b92d001}" id="{cd9a3584-677f-4df4-a7a0-6747c94031a5}" done="0">
    <x18tc:text xml:space="preserve">HeadHunter — 2 400 руб.</x18tc:text>
  </x18tc:threadedComment>
  <x18tc:threadedComment ref="A7" dT="2026-07-18T20:19:30.00" personId="{e2a4748b-07a1-4d1a-9de5-f8c53b92d001}" id="{1c6c0bfc-fb06-458f-b252-25afbcc18afe}" done="0">
    <x18tc:text xml:space="preserve">Март: расходы собраны по месяцу начисления из нескольких последующих CF; разработка учтена отдельно.</x18tc:text>
  </x18tc:threadedComment>
  <x18tc:threadedComment ref="G1" dT="2026-07-18T20:19:30.00" personId="{e2a4748b-07a1-4d1a-9de5-f8c53b92d001}" id="{1cbe3686-e91c-4bf0-820a-316274f9a8a6}" done="0">
    <x18tc:text xml:space="preserve">Распределенные на МДО услуги и расходы ГК. Они показываются отдельно, чтобы не смешивать их с прямыми расходами команды МДО.</x18tc:text>
  </x18tc:threadedComment>
  <x18tc:threadedComment ref="D2" dT="2026-07-18T20:19:30.00" personId="{e2a4748b-07a1-4d1a-9de5-f8c53b92d001}" id="{8bc291a5-cf4d-4042-b717-844ffefc5c41}" done="1">
    <x18tc:text xml:space="preserve">Октябрь 2025 — отдельный управленческий ввод полной стоимости команды разработки. В CF зарплаты разработчиков не отражены. Состав команды подтверждается табелем трудозатрат; сумма не заменяется итогом CF.</x18tc:text>
  </x18tc:threadedComment>
  <x18tc:threadedComment ref="C3" dT="2026-07-18T20:19:30.00" personId="{e2a4748b-07a1-4d1a-9de5-f8c53b92d001}" id="{b51ca5c3-d755-482e-8b75-fbb33028eb1a}" done="0">
    <x18tc:text xml:space="preserve">Ноябрь 2025 — 919 146,64 руб. Источник: отчет по начислению за октябрь–декабрь 2025. Основное: зарплата 545 552,75; премии 130 677,37; SMS 60 000; домены 55 673; налоги и взносы 39 639,18; коммерческое вознаграждение 25 000; ПО 24 390; аренда 23 280; банк 8 446,68; прочее 7 087,66. Юристы, HeadHunter, регистрация ЮЛ и доставка SIM на 57 958 вынесены в аллокацию.</x18tc:text>
  </x18tc:threadedComment>
  <x18tc:threadedComment ref="D9" dT="2026-07-18T20:19:30.00" personId="{e2a4748b-07a1-4d1a-9de5-f8c53b92d001}" id="{3543e901-d51e-4377-af31-9ba15aba4ed2}" done="1">
    <x18tc:text xml:space="preserve">Май 2026 — отдельный управленческий ввод полной стоимости команды разработки. ООО «Бренд Лаборатория» и 66 Бит в эту сумму не входят.</x18tc:text>
  </x18tc:threadedComment>
  <x18tc:threadedComment ref="I4" dT="2026-07-18T20:19:30.00" personId="{e2a4748b-07a1-4d1a-9de5-f8c53b92d001}" id="{e7013878-377e-4575-b03c-b3666ab1f5ee}" done="0">
    <x18tc:text xml:space="preserve">Выплаты за декабрь 2025: Иванов — 1 537 920; Клевцов — 3 551 209,67; Шильников — 946 080; комиссии — 241,34. Итого 6 035 451,01 руб. Это распределение средств учредителям, а не операционный расход.</x18tc:text>
  </x18tc:threadedComment>
  <x18tc:threadedComment ref="A3" dT="2026-07-18T20:19:30.00" personId="{e2a4748b-07a1-4d1a-9de5-f8c53b92d001}" id="{d57b8c9b-58ce-44db-9c63-d651122ee2de}" done="0">
    <x18tc:text xml:space="preserve">Ноябрь: прямые OPEX из отчета по начислению + отдельная стоимость разработки + услуги ГК.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6.0"/>
    <col customWidth="1" min="3" max="5" width="24.0"/>
    <col customWidth="1" min="6" max="6" width="20.0"/>
    <col customWidth="1" min="7" max="7" width="19.0"/>
    <col customWidth="1" min="8" max="8" width="22.0"/>
    <col customWidth="1" min="9" max="10" width="18.0"/>
    <col customWidth="1" min="11" max="11" width="23.0"/>
    <col customWidth="1" min="12" max="12" width="19.0"/>
    <col customWidth="1" min="13" max="13" width="22.0"/>
  </cols>
  <sheetData>
    <row r="1" ht="7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31.5" customHeight="1">
      <c r="A2" s="4" t="s">
        <v>13</v>
      </c>
      <c r="B2" s="5">
        <f>4046953</f>
        <v>4046953</v>
      </c>
      <c r="C2" s="5">
        <f>704273.25</f>
        <v>704273.25</v>
      </c>
      <c r="D2" s="6">
        <f t="shared" ref="D2:D7" si="1">580000</f>
        <v>580000</v>
      </c>
      <c r="E2" s="6">
        <f>2031</f>
        <v>2031</v>
      </c>
      <c r="F2" s="5">
        <f t="shared" ref="F2:F11" si="2">C2+D2+E2</f>
        <v>1286304.25</v>
      </c>
      <c r="G2" s="5">
        <f>3956</f>
        <v>3956</v>
      </c>
      <c r="H2" s="5">
        <f t="shared" ref="H2:H10" si="3">B2-(F2+G2)</f>
        <v>2756692.75</v>
      </c>
      <c r="I2" s="5">
        <v>0.0</v>
      </c>
      <c r="J2" s="5">
        <v>0.0</v>
      </c>
      <c r="K2" s="5">
        <v>0.0</v>
      </c>
      <c r="L2" s="5">
        <f t="shared" ref="L2:L10" si="4">F2+G2+I2+J2+K2</f>
        <v>1290260.25</v>
      </c>
      <c r="M2" s="5">
        <f t="shared" ref="M2:M10" si="5">B2-L2</f>
        <v>2756692.75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48.0" customHeight="1">
      <c r="A3" s="4" t="s">
        <v>14</v>
      </c>
      <c r="B3" s="5">
        <f>2993464</f>
        <v>2993464</v>
      </c>
      <c r="C3" s="5">
        <f>919146.64</f>
        <v>919146.64</v>
      </c>
      <c r="D3" s="6">
        <f t="shared" si="1"/>
        <v>580000</v>
      </c>
      <c r="E3" s="6">
        <f>77228</f>
        <v>77228</v>
      </c>
      <c r="F3" s="5">
        <f t="shared" si="2"/>
        <v>1576374.64</v>
      </c>
      <c r="G3" s="5">
        <f>57958</f>
        <v>57958</v>
      </c>
      <c r="H3" s="5">
        <f t="shared" si="3"/>
        <v>1359131.36</v>
      </c>
      <c r="I3" s="5">
        <v>0.0</v>
      </c>
      <c r="J3" s="5">
        <v>0.0</v>
      </c>
      <c r="K3" s="5">
        <v>0.0</v>
      </c>
      <c r="L3" s="5">
        <f t="shared" si="4"/>
        <v>1634332.64</v>
      </c>
      <c r="M3" s="5">
        <f t="shared" si="5"/>
        <v>1359131.36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36.0" customHeight="1">
      <c r="A4" s="4" t="s">
        <v>15</v>
      </c>
      <c r="B4" s="5">
        <f>3227370</f>
        <v>3227370</v>
      </c>
      <c r="C4" s="5">
        <f>1014219.16</f>
        <v>1014219.16</v>
      </c>
      <c r="D4" s="6">
        <f t="shared" si="1"/>
        <v>580000</v>
      </c>
      <c r="E4" s="8">
        <v>119522.0</v>
      </c>
      <c r="F4" s="5">
        <f t="shared" si="2"/>
        <v>1713741.16</v>
      </c>
      <c r="G4" s="5">
        <f>6450</f>
        <v>6450</v>
      </c>
      <c r="H4" s="5">
        <f t="shared" si="3"/>
        <v>1507178.84</v>
      </c>
      <c r="I4" s="5">
        <f>6035451.01</f>
        <v>6035451.01</v>
      </c>
      <c r="J4" s="5">
        <v>0.0</v>
      </c>
      <c r="K4" s="5">
        <v>0.0</v>
      </c>
      <c r="L4" s="5">
        <f t="shared" si="4"/>
        <v>7755642.17</v>
      </c>
      <c r="M4" s="5">
        <f t="shared" si="5"/>
        <v>-4528272.17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32.25" customHeight="1">
      <c r="A5" s="4" t="s">
        <v>16</v>
      </c>
      <c r="B5" s="5">
        <f>2187345</f>
        <v>2187345</v>
      </c>
      <c r="C5" s="5">
        <f>673585.69</f>
        <v>673585.69</v>
      </c>
      <c r="D5" s="6">
        <f t="shared" si="1"/>
        <v>580000</v>
      </c>
      <c r="E5" s="8">
        <v>177737.0</v>
      </c>
      <c r="F5" s="5">
        <f t="shared" si="2"/>
        <v>1431322.69</v>
      </c>
      <c r="G5" s="5">
        <v>0.0</v>
      </c>
      <c r="H5" s="5">
        <f t="shared" si="3"/>
        <v>756022.31</v>
      </c>
      <c r="I5" s="5">
        <v>0.0</v>
      </c>
      <c r="J5" s="5">
        <f>594560.45</f>
        <v>594560.45</v>
      </c>
      <c r="K5" s="5">
        <v>0.0</v>
      </c>
      <c r="L5" s="5">
        <f t="shared" si="4"/>
        <v>2025883.14</v>
      </c>
      <c r="M5" s="5">
        <f t="shared" si="5"/>
        <v>161461.86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32.25" customHeight="1">
      <c r="A6" s="4" t="s">
        <v>17</v>
      </c>
      <c r="B6" s="5">
        <f>3223366</f>
        <v>3223366</v>
      </c>
      <c r="C6" s="5">
        <f>363096.5</f>
        <v>363096.5</v>
      </c>
      <c r="D6" s="6">
        <f t="shared" si="1"/>
        <v>580000</v>
      </c>
      <c r="E6" s="8">
        <v>159710.0</v>
      </c>
      <c r="F6" s="5">
        <f t="shared" si="2"/>
        <v>1102806.5</v>
      </c>
      <c r="G6" s="5">
        <f>2400</f>
        <v>2400</v>
      </c>
      <c r="H6" s="5">
        <f t="shared" si="3"/>
        <v>2118159.5</v>
      </c>
      <c r="I6" s="5">
        <v>0.0</v>
      </c>
      <c r="J6" s="5">
        <v>0.0</v>
      </c>
      <c r="K6" s="5">
        <v>0.0</v>
      </c>
      <c r="L6" s="5">
        <f t="shared" si="4"/>
        <v>1105206.5</v>
      </c>
      <c r="M6" s="5">
        <f t="shared" si="5"/>
        <v>2118159.5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40.5" customHeight="1">
      <c r="A7" s="4" t="s">
        <v>18</v>
      </c>
      <c r="B7" s="5">
        <f>2282189.63</f>
        <v>2282189.63</v>
      </c>
      <c r="C7" s="5">
        <f>1056685.13</f>
        <v>1056685.13</v>
      </c>
      <c r="D7" s="6">
        <f t="shared" si="1"/>
        <v>580000</v>
      </c>
      <c r="E7" s="8">
        <v>125355.0</v>
      </c>
      <c r="F7" s="5">
        <f t="shared" si="2"/>
        <v>1762040.13</v>
      </c>
      <c r="G7" s="5">
        <f>2804.77</f>
        <v>2804.77</v>
      </c>
      <c r="H7" s="5">
        <f t="shared" si="3"/>
        <v>517344.73</v>
      </c>
      <c r="I7" s="5">
        <v>0.0</v>
      </c>
      <c r="J7" s="5">
        <v>0.0</v>
      </c>
      <c r="K7" s="5">
        <v>0.0</v>
      </c>
      <c r="L7" s="5">
        <f t="shared" si="4"/>
        <v>1764844.9</v>
      </c>
      <c r="M7" s="5">
        <f t="shared" si="5"/>
        <v>517344.73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35.25" customHeight="1">
      <c r="A8" s="4" t="s">
        <v>19</v>
      </c>
      <c r="B8" s="5">
        <f>1194624.2</f>
        <v>1194624.2</v>
      </c>
      <c r="C8" s="5">
        <f>SUMIFS('Детализация_июнь'!$I$2:$I$79,'Детализация_июнь'!$A$2:$A$79,"Апр-26",'Детализация_июнь'!$J$2:$J$79,"Опер. расходы МДО без разработки",'Детализация_июнь'!$K$2:$K$79,"Да")</f>
        <v>830333.48</v>
      </c>
      <c r="D8" s="6">
        <f t="shared" ref="D8:D10" si="6">450000</f>
        <v>450000</v>
      </c>
      <c r="E8" s="8">
        <v>151200.0</v>
      </c>
      <c r="F8" s="5">
        <f t="shared" si="2"/>
        <v>1431533.48</v>
      </c>
      <c r="G8" s="5">
        <f>30060</f>
        <v>30060</v>
      </c>
      <c r="H8" s="5">
        <f t="shared" si="3"/>
        <v>-266969.28</v>
      </c>
      <c r="I8" s="5">
        <v>0.0</v>
      </c>
      <c r="J8" s="5">
        <f>594560.45</f>
        <v>594560.45</v>
      </c>
      <c r="K8" s="5">
        <v>0.0</v>
      </c>
      <c r="L8" s="5">
        <f t="shared" si="4"/>
        <v>2056153.93</v>
      </c>
      <c r="M8" s="5">
        <f t="shared" si="5"/>
        <v>-861529.73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31.5" customHeight="1">
      <c r="A9" s="4" t="s">
        <v>20</v>
      </c>
      <c r="B9" s="5">
        <f>2372400.5</f>
        <v>2372400.5</v>
      </c>
      <c r="C9" s="5">
        <f>SUMIFS('Детализация_июнь'!$I$2:$I$79,'Детализация_июнь'!$A$2:$A$79,"Май-26",'Детализация_июнь'!$J$2:$J$79,"Опер. расходы МДО без разработки",'Детализация_июнь'!$K$2:$K$79,"Да")</f>
        <v>5719509.17</v>
      </c>
      <c r="D9" s="6">
        <f t="shared" si="6"/>
        <v>450000</v>
      </c>
      <c r="E9" s="8">
        <v>127495.0</v>
      </c>
      <c r="F9" s="5">
        <f t="shared" si="2"/>
        <v>6297004.17</v>
      </c>
      <c r="G9" s="5">
        <f>17500</f>
        <v>17500</v>
      </c>
      <c r="H9" s="5">
        <f t="shared" si="3"/>
        <v>-3942103.67</v>
      </c>
      <c r="I9" s="5">
        <v>0.0</v>
      </c>
      <c r="J9" s="5">
        <v>0.0</v>
      </c>
      <c r="K9" s="5">
        <f>3997297</f>
        <v>3997297</v>
      </c>
      <c r="L9" s="5">
        <f t="shared" si="4"/>
        <v>10311801.17</v>
      </c>
      <c r="M9" s="5">
        <f t="shared" si="5"/>
        <v>-7939400.67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36.75" customHeight="1">
      <c r="A10" s="4" t="s">
        <v>21</v>
      </c>
      <c r="B10" s="5">
        <f>SUMIFS('Детализация_июнь'!$I$2:$I$79,'Детализация_июнь'!$A$2:$A$79,"Июнь-26",'Детализация_июнь'!$J$2:$J$79,"Выручка",'Детализация_июнь'!$K$2:$K$79,"Да")</f>
        <v>2750662</v>
      </c>
      <c r="C10" s="5">
        <f>SUMIFS('Детализация_июнь'!$I$2:$I$79,'Детализация_июнь'!$A$2:$A$79,"Июнь-26",'Детализация_июнь'!$J$2:$J$79,"Опер. расходы МДО без разработки",'Детализация_июнь'!$K$2:$K$79,"Да")</f>
        <v>241414</v>
      </c>
      <c r="D10" s="6">
        <f t="shared" si="6"/>
        <v>450000</v>
      </c>
      <c r="E10" s="8">
        <v>72470.0</v>
      </c>
      <c r="F10" s="5">
        <f t="shared" si="2"/>
        <v>763884</v>
      </c>
      <c r="G10" s="5">
        <f>SUMIFS('Детализация_июнь'!$I$2:$I$79,'Детализация_июнь'!$A$2:$A$79,"Июнь-26",'Детализация_июнь'!$J$2:$J$79,"Аллокация ГК",'Детализация_июнь'!$K$2:$K$79,"Да")</f>
        <v>34337.48</v>
      </c>
      <c r="H10" s="5">
        <f t="shared" si="3"/>
        <v>1952440.52</v>
      </c>
      <c r="I10" s="5">
        <f>SUMIFS('Детализация_июнь'!$I$2:$I$79,'Детализация_июнь'!$A$2:$A$79,"Июнь-26",'Детализация_июнь'!$J$2:$J$79,"Выплаты учредителям",'Детализация_июнь'!$K$2:$K$79,"Да")</f>
        <v>0</v>
      </c>
      <c r="J10" s="5">
        <f>SUMIFS('Детализация_июнь'!$I$2:$I$79,'Детализация_июнь'!$A$2:$A$79,"Июнь-26",'Детализация_июнь'!$J$2:$J$79,"66bit",'Детализация_июнь'!$K$2:$K$79,"Да")</f>
        <v>1189120.91</v>
      </c>
      <c r="K10" s="5">
        <f>SUMIFS('Детализация_июнь'!$I$2:$I$79,'Детализация_июнь'!$A$2:$A$79,"Июнь-26",'Детализация_июнь'!$J$2:$J$79,"Инвест. разработка прочая",'Детализация_июнь'!$K$2:$K$79,"Да")</f>
        <v>0</v>
      </c>
      <c r="L10" s="5">
        <f t="shared" si="4"/>
        <v>1987342.39</v>
      </c>
      <c r="M10" s="5">
        <f t="shared" si="5"/>
        <v>763319.61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9" t="s">
        <v>22</v>
      </c>
      <c r="B11" s="5">
        <f t="shared" ref="B11:E11" si="7">SUM(B2:B10)</f>
        <v>24278374.33</v>
      </c>
      <c r="C11" s="5">
        <f t="shared" si="7"/>
        <v>11522263.02</v>
      </c>
      <c r="D11" s="6">
        <f t="shared" si="7"/>
        <v>4830000</v>
      </c>
      <c r="E11" s="6">
        <f t="shared" si="7"/>
        <v>1012748</v>
      </c>
      <c r="F11" s="5">
        <f t="shared" si="2"/>
        <v>17365011.02</v>
      </c>
      <c r="G11" s="5">
        <f t="shared" ref="G11:M11" si="8">SUM(G2:G10)</f>
        <v>155466.25</v>
      </c>
      <c r="H11" s="5">
        <f t="shared" si="8"/>
        <v>6757897.06</v>
      </c>
      <c r="I11" s="5">
        <f t="shared" si="8"/>
        <v>6035451.01</v>
      </c>
      <c r="J11" s="5">
        <f t="shared" si="8"/>
        <v>2378241.81</v>
      </c>
      <c r="K11" s="5">
        <f t="shared" si="8"/>
        <v>3997297</v>
      </c>
      <c r="L11" s="5">
        <f t="shared" si="8"/>
        <v>29931467.09</v>
      </c>
      <c r="M11" s="5">
        <f t="shared" si="8"/>
        <v>-5653092.76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28.0"/>
    <col customWidth="1" min="3" max="3" width="10.0"/>
    <col customWidth="1" min="4" max="5" width="14.0"/>
    <col customWidth="1" min="6" max="6" width="28.0"/>
    <col customWidth="1" min="7" max="7" width="34.0"/>
    <col customWidth="1" min="8" max="8" width="55.0"/>
    <col customWidth="1" min="9" max="9" width="16.0"/>
    <col customWidth="1" min="10" max="10" width="30.0"/>
    <col customWidth="1" min="11" max="11" width="12.0"/>
    <col customWidth="1" min="12" max="12" width="44.0"/>
    <col customWidth="1" min="13" max="13" width="70.0"/>
  </cols>
  <sheetData>
    <row r="1">
      <c r="A1" s="10" t="s">
        <v>23</v>
      </c>
      <c r="B1" s="11" t="s">
        <v>24</v>
      </c>
      <c r="C1" s="11" t="s">
        <v>25</v>
      </c>
      <c r="D1" s="11" t="s">
        <v>26</v>
      </c>
      <c r="E1" s="11" t="s">
        <v>27</v>
      </c>
      <c r="F1" s="11" t="s">
        <v>28</v>
      </c>
      <c r="G1" s="11" t="s">
        <v>29</v>
      </c>
      <c r="H1" s="11" t="s">
        <v>30</v>
      </c>
      <c r="I1" s="11" t="s">
        <v>31</v>
      </c>
      <c r="J1" s="11" t="s">
        <v>32</v>
      </c>
      <c r="K1" s="11" t="s">
        <v>33</v>
      </c>
      <c r="L1" s="11" t="s">
        <v>34</v>
      </c>
      <c r="M1" s="12" t="s">
        <v>35</v>
      </c>
    </row>
    <row r="2">
      <c r="A2" s="13" t="s">
        <v>19</v>
      </c>
      <c r="B2" s="13" t="s">
        <v>36</v>
      </c>
      <c r="C2" s="13" t="s">
        <v>37</v>
      </c>
      <c r="D2" s="13"/>
      <c r="E2" s="13" t="s">
        <v>38</v>
      </c>
      <c r="F2" s="13"/>
      <c r="G2" s="13" t="s">
        <v>39</v>
      </c>
      <c r="H2" s="13" t="s">
        <v>40</v>
      </c>
      <c r="I2" s="14">
        <v>805271.34</v>
      </c>
      <c r="J2" s="13" t="s">
        <v>41</v>
      </c>
      <c r="K2" s="13" t="s">
        <v>42</v>
      </c>
      <c r="L2" s="13" t="s">
        <v>43</v>
      </c>
      <c r="M2" s="13"/>
    </row>
    <row r="3">
      <c r="A3" s="15" t="s">
        <v>20</v>
      </c>
      <c r="B3" s="15" t="s">
        <v>36</v>
      </c>
      <c r="C3" s="15" t="s">
        <v>44</v>
      </c>
      <c r="D3" s="15"/>
      <c r="E3" s="15" t="s">
        <v>45</v>
      </c>
      <c r="F3" s="15"/>
      <c r="G3" s="15" t="s">
        <v>39</v>
      </c>
      <c r="H3" s="15" t="s">
        <v>40</v>
      </c>
      <c r="I3" s="16">
        <v>5048738.4</v>
      </c>
      <c r="J3" s="15" t="s">
        <v>41</v>
      </c>
      <c r="K3" s="15" t="s">
        <v>42</v>
      </c>
      <c r="L3" s="15" t="s">
        <v>43</v>
      </c>
      <c r="M3" s="15"/>
    </row>
    <row r="4">
      <c r="A4" s="15" t="s">
        <v>46</v>
      </c>
      <c r="B4" s="15" t="s">
        <v>47</v>
      </c>
      <c r="C4" s="15" t="s">
        <v>48</v>
      </c>
      <c r="D4" s="15"/>
      <c r="E4" s="15" t="s">
        <v>49</v>
      </c>
      <c r="F4" s="15"/>
      <c r="G4" s="15" t="s">
        <v>50</v>
      </c>
      <c r="H4" s="15" t="s">
        <v>51</v>
      </c>
      <c r="I4" s="16">
        <v>1162905.0</v>
      </c>
      <c r="J4" s="15" t="s">
        <v>50</v>
      </c>
      <c r="K4" s="15" t="s">
        <v>42</v>
      </c>
      <c r="L4" s="15" t="s">
        <v>52</v>
      </c>
      <c r="M4" s="15"/>
    </row>
    <row r="5">
      <c r="A5" s="15" t="s">
        <v>46</v>
      </c>
      <c r="B5" s="15" t="s">
        <v>53</v>
      </c>
      <c r="C5" s="15" t="s">
        <v>54</v>
      </c>
      <c r="D5" s="15"/>
      <c r="E5" s="15" t="s">
        <v>49</v>
      </c>
      <c r="F5" s="15"/>
      <c r="G5" s="15" t="s">
        <v>55</v>
      </c>
      <c r="H5" s="15" t="s">
        <v>56</v>
      </c>
      <c r="I5" s="16">
        <v>2750662.0</v>
      </c>
      <c r="J5" s="15" t="s">
        <v>1</v>
      </c>
      <c r="K5" s="15" t="s">
        <v>42</v>
      </c>
      <c r="L5" s="15" t="s">
        <v>57</v>
      </c>
      <c r="M5" s="15" t="s">
        <v>58</v>
      </c>
    </row>
    <row r="6">
      <c r="A6" s="15" t="s">
        <v>20</v>
      </c>
      <c r="B6" s="15" t="s">
        <v>59</v>
      </c>
      <c r="C6" s="15">
        <v>3.0</v>
      </c>
      <c r="D6" s="15" t="s">
        <v>60</v>
      </c>
      <c r="E6" s="15" t="s">
        <v>45</v>
      </c>
      <c r="F6" s="15" t="s">
        <v>61</v>
      </c>
      <c r="G6" s="15" t="s">
        <v>62</v>
      </c>
      <c r="H6" s="15" t="s">
        <v>63</v>
      </c>
      <c r="I6" s="16">
        <v>51949.99</v>
      </c>
      <c r="J6" s="15" t="s">
        <v>41</v>
      </c>
      <c r="K6" s="15" t="s">
        <v>42</v>
      </c>
      <c r="L6" s="15" t="s">
        <v>64</v>
      </c>
      <c r="M6" s="15"/>
    </row>
    <row r="7">
      <c r="A7" s="15" t="s">
        <v>20</v>
      </c>
      <c r="B7" s="15" t="s">
        <v>59</v>
      </c>
      <c r="C7" s="15">
        <v>4.0</v>
      </c>
      <c r="D7" s="15" t="s">
        <v>60</v>
      </c>
      <c r="E7" s="15" t="s">
        <v>45</v>
      </c>
      <c r="F7" s="15" t="s">
        <v>65</v>
      </c>
      <c r="G7" s="15" t="s">
        <v>66</v>
      </c>
      <c r="H7" s="15" t="s">
        <v>63</v>
      </c>
      <c r="I7" s="16">
        <v>325.87</v>
      </c>
      <c r="J7" s="15" t="s">
        <v>41</v>
      </c>
      <c r="K7" s="15" t="s">
        <v>42</v>
      </c>
      <c r="L7" s="15" t="s">
        <v>64</v>
      </c>
      <c r="M7" s="15"/>
    </row>
    <row r="8">
      <c r="A8" s="15" t="s">
        <v>20</v>
      </c>
      <c r="B8" s="15" t="s">
        <v>59</v>
      </c>
      <c r="C8" s="15">
        <v>5.0</v>
      </c>
      <c r="D8" s="15" t="s">
        <v>60</v>
      </c>
      <c r="E8" s="15" t="s">
        <v>45</v>
      </c>
      <c r="F8" s="15" t="s">
        <v>67</v>
      </c>
      <c r="G8" s="15" t="s">
        <v>62</v>
      </c>
      <c r="H8" s="15" t="s">
        <v>68</v>
      </c>
      <c r="I8" s="16">
        <v>57500.0</v>
      </c>
      <c r="J8" s="15" t="s">
        <v>41</v>
      </c>
      <c r="K8" s="15" t="s">
        <v>42</v>
      </c>
      <c r="L8" s="15" t="s">
        <v>64</v>
      </c>
      <c r="M8" s="15"/>
    </row>
    <row r="9">
      <c r="A9" s="15" t="s">
        <v>20</v>
      </c>
      <c r="B9" s="15" t="s">
        <v>59</v>
      </c>
      <c r="C9" s="15">
        <v>6.0</v>
      </c>
      <c r="D9" s="15" t="s">
        <v>60</v>
      </c>
      <c r="E9" s="15" t="s">
        <v>45</v>
      </c>
      <c r="F9" s="15" t="s">
        <v>69</v>
      </c>
      <c r="G9" s="15" t="s">
        <v>62</v>
      </c>
      <c r="H9" s="15" t="s">
        <v>70</v>
      </c>
      <c r="I9" s="16">
        <v>40000.0</v>
      </c>
      <c r="J9" s="15" t="s">
        <v>41</v>
      </c>
      <c r="K9" s="15" t="s">
        <v>42</v>
      </c>
      <c r="L9" s="15" t="s">
        <v>64</v>
      </c>
      <c r="M9" s="15"/>
    </row>
    <row r="10">
      <c r="A10" s="15" t="s">
        <v>20</v>
      </c>
      <c r="B10" s="15" t="s">
        <v>59</v>
      </c>
      <c r="C10" s="15">
        <v>7.0</v>
      </c>
      <c r="D10" s="15" t="s">
        <v>60</v>
      </c>
      <c r="E10" s="15" t="s">
        <v>45</v>
      </c>
      <c r="F10" s="15" t="s">
        <v>69</v>
      </c>
      <c r="G10" s="15" t="s">
        <v>71</v>
      </c>
      <c r="H10" s="15" t="s">
        <v>70</v>
      </c>
      <c r="I10" s="16">
        <v>2553.19</v>
      </c>
      <c r="J10" s="15" t="s">
        <v>41</v>
      </c>
      <c r="K10" s="15" t="s">
        <v>42</v>
      </c>
      <c r="L10" s="15" t="s">
        <v>64</v>
      </c>
      <c r="M10" s="15"/>
    </row>
    <row r="11">
      <c r="A11" s="15" t="s">
        <v>20</v>
      </c>
      <c r="B11" s="15" t="s">
        <v>59</v>
      </c>
      <c r="C11" s="15">
        <v>8.0</v>
      </c>
      <c r="D11" s="15" t="s">
        <v>60</v>
      </c>
      <c r="E11" s="15" t="s">
        <v>45</v>
      </c>
      <c r="F11" s="15" t="s">
        <v>72</v>
      </c>
      <c r="G11" s="15" t="s">
        <v>66</v>
      </c>
      <c r="H11" s="15" t="s">
        <v>70</v>
      </c>
      <c r="I11" s="16">
        <v>553.19</v>
      </c>
      <c r="J11" s="15" t="s">
        <v>41</v>
      </c>
      <c r="K11" s="15" t="s">
        <v>42</v>
      </c>
      <c r="L11" s="15" t="s">
        <v>64</v>
      </c>
      <c r="M11" s="15"/>
    </row>
    <row r="12">
      <c r="A12" s="15" t="s">
        <v>20</v>
      </c>
      <c r="B12" s="15" t="s">
        <v>59</v>
      </c>
      <c r="C12" s="15">
        <v>9.0</v>
      </c>
      <c r="D12" s="15" t="s">
        <v>60</v>
      </c>
      <c r="E12" s="15" t="s">
        <v>45</v>
      </c>
      <c r="F12" s="15" t="s">
        <v>73</v>
      </c>
      <c r="G12" s="15" t="s">
        <v>62</v>
      </c>
      <c r="H12" s="15" t="s">
        <v>74</v>
      </c>
      <c r="I12" s="16">
        <v>57500.0</v>
      </c>
      <c r="J12" s="15" t="s">
        <v>41</v>
      </c>
      <c r="K12" s="15" t="s">
        <v>42</v>
      </c>
      <c r="L12" s="15" t="s">
        <v>64</v>
      </c>
      <c r="M12" s="15"/>
    </row>
    <row r="13">
      <c r="A13" s="15" t="s">
        <v>20</v>
      </c>
      <c r="B13" s="15" t="s">
        <v>59</v>
      </c>
      <c r="C13" s="15">
        <v>10.0</v>
      </c>
      <c r="D13" s="15" t="s">
        <v>60</v>
      </c>
      <c r="E13" s="15" t="s">
        <v>45</v>
      </c>
      <c r="F13" s="15" t="s">
        <v>73</v>
      </c>
      <c r="G13" s="15" t="s">
        <v>71</v>
      </c>
      <c r="H13" s="15" t="s">
        <v>74</v>
      </c>
      <c r="I13" s="16">
        <v>3670.21</v>
      </c>
      <c r="J13" s="15" t="s">
        <v>41</v>
      </c>
      <c r="K13" s="15" t="s">
        <v>42</v>
      </c>
      <c r="L13" s="15" t="s">
        <v>64</v>
      </c>
      <c r="M13" s="15"/>
    </row>
    <row r="14">
      <c r="A14" s="15" t="s">
        <v>20</v>
      </c>
      <c r="B14" s="15" t="s">
        <v>59</v>
      </c>
      <c r="C14" s="15">
        <v>11.0</v>
      </c>
      <c r="D14" s="15" t="s">
        <v>60</v>
      </c>
      <c r="E14" s="15" t="s">
        <v>45</v>
      </c>
      <c r="F14" s="15" t="s">
        <v>72</v>
      </c>
      <c r="G14" s="15" t="s">
        <v>66</v>
      </c>
      <c r="H14" s="15" t="s">
        <v>74</v>
      </c>
      <c r="I14" s="16">
        <v>795.21</v>
      </c>
      <c r="J14" s="15" t="s">
        <v>41</v>
      </c>
      <c r="K14" s="15" t="s">
        <v>42</v>
      </c>
      <c r="L14" s="15" t="s">
        <v>64</v>
      </c>
      <c r="M14" s="15"/>
    </row>
    <row r="15">
      <c r="A15" s="15" t="s">
        <v>20</v>
      </c>
      <c r="B15" s="15" t="s">
        <v>59</v>
      </c>
      <c r="C15" s="15">
        <v>12.0</v>
      </c>
      <c r="D15" s="15" t="s">
        <v>75</v>
      </c>
      <c r="E15" s="15" t="s">
        <v>45</v>
      </c>
      <c r="F15" s="15" t="s">
        <v>76</v>
      </c>
      <c r="G15" s="15" t="s">
        <v>77</v>
      </c>
      <c r="H15" s="15" t="s">
        <v>78</v>
      </c>
      <c r="I15" s="16">
        <v>43088.44</v>
      </c>
      <c r="J15" s="15" t="s">
        <v>41</v>
      </c>
      <c r="K15" s="15" t="s">
        <v>42</v>
      </c>
      <c r="L15" s="15" t="s">
        <v>64</v>
      </c>
      <c r="M15" s="15"/>
    </row>
    <row r="16">
      <c r="A16" s="15" t="s">
        <v>20</v>
      </c>
      <c r="B16" s="15" t="s">
        <v>59</v>
      </c>
      <c r="C16" s="15">
        <v>13.0</v>
      </c>
      <c r="D16" s="15" t="s">
        <v>75</v>
      </c>
      <c r="E16" s="15" t="s">
        <v>45</v>
      </c>
      <c r="F16" s="15" t="s">
        <v>65</v>
      </c>
      <c r="G16" s="15" t="s">
        <v>66</v>
      </c>
      <c r="H16" s="15" t="s">
        <v>78</v>
      </c>
      <c r="I16" s="16">
        <v>321.7</v>
      </c>
      <c r="J16" s="15" t="s">
        <v>41</v>
      </c>
      <c r="K16" s="15" t="s">
        <v>42</v>
      </c>
      <c r="L16" s="15" t="s">
        <v>64</v>
      </c>
      <c r="M16" s="15"/>
    </row>
    <row r="17">
      <c r="A17" s="15" t="s">
        <v>46</v>
      </c>
      <c r="B17" s="15" t="s">
        <v>59</v>
      </c>
      <c r="C17" s="15">
        <v>14.0</v>
      </c>
      <c r="D17" s="15" t="s">
        <v>75</v>
      </c>
      <c r="E17" s="15" t="s">
        <v>49</v>
      </c>
      <c r="F17" s="15" t="s">
        <v>79</v>
      </c>
      <c r="G17" s="15" t="s">
        <v>66</v>
      </c>
      <c r="H17" s="15"/>
      <c r="I17" s="16">
        <v>199.0</v>
      </c>
      <c r="J17" s="15" t="s">
        <v>41</v>
      </c>
      <c r="K17" s="15" t="s">
        <v>42</v>
      </c>
      <c r="L17" s="15" t="s">
        <v>64</v>
      </c>
      <c r="M17" s="15" t="s">
        <v>80</v>
      </c>
    </row>
    <row r="18">
      <c r="A18" s="15" t="s">
        <v>46</v>
      </c>
      <c r="B18" s="15" t="s">
        <v>59</v>
      </c>
      <c r="C18" s="15">
        <v>15.0</v>
      </c>
      <c r="D18" s="15" t="s">
        <v>75</v>
      </c>
      <c r="E18" s="15" t="s">
        <v>49</v>
      </c>
      <c r="F18" s="15" t="s">
        <v>79</v>
      </c>
      <c r="G18" s="15" t="s">
        <v>66</v>
      </c>
      <c r="H18" s="15"/>
      <c r="I18" s="16">
        <v>398.0</v>
      </c>
      <c r="J18" s="15" t="s">
        <v>41</v>
      </c>
      <c r="K18" s="15" t="s">
        <v>42</v>
      </c>
      <c r="L18" s="15" t="s">
        <v>64</v>
      </c>
      <c r="M18" s="15" t="s">
        <v>80</v>
      </c>
    </row>
    <row r="19">
      <c r="A19" s="15" t="s">
        <v>20</v>
      </c>
      <c r="B19" s="15" t="s">
        <v>59</v>
      </c>
      <c r="C19" s="15">
        <v>16.0</v>
      </c>
      <c r="D19" s="15" t="s">
        <v>81</v>
      </c>
      <c r="E19" s="15" t="s">
        <v>45</v>
      </c>
      <c r="F19" s="15" t="s">
        <v>82</v>
      </c>
      <c r="G19" s="15" t="s">
        <v>62</v>
      </c>
      <c r="H19" s="15" t="s">
        <v>83</v>
      </c>
      <c r="I19" s="16">
        <v>65550.0</v>
      </c>
      <c r="J19" s="15" t="s">
        <v>41</v>
      </c>
      <c r="K19" s="15" t="s">
        <v>42</v>
      </c>
      <c r="L19" s="15" t="s">
        <v>64</v>
      </c>
      <c r="M19" s="15"/>
    </row>
    <row r="20">
      <c r="A20" s="15" t="s">
        <v>20</v>
      </c>
      <c r="B20" s="15" t="s">
        <v>59</v>
      </c>
      <c r="C20" s="15">
        <v>17.0</v>
      </c>
      <c r="D20" s="15" t="s">
        <v>81</v>
      </c>
      <c r="E20" s="15" t="s">
        <v>45</v>
      </c>
      <c r="F20" s="15" t="s">
        <v>82</v>
      </c>
      <c r="G20" s="15" t="s">
        <v>71</v>
      </c>
      <c r="H20" s="15" t="s">
        <v>83</v>
      </c>
      <c r="I20" s="16">
        <v>4184.04</v>
      </c>
      <c r="J20" s="15" t="s">
        <v>41</v>
      </c>
      <c r="K20" s="15" t="s">
        <v>42</v>
      </c>
      <c r="L20" s="15" t="s">
        <v>64</v>
      </c>
      <c r="M20" s="15"/>
    </row>
    <row r="21" ht="15.75" customHeight="1">
      <c r="A21" s="15" t="s">
        <v>20</v>
      </c>
      <c r="B21" s="15" t="s">
        <v>59</v>
      </c>
      <c r="C21" s="15">
        <v>18.0</v>
      </c>
      <c r="D21" s="15" t="s">
        <v>81</v>
      </c>
      <c r="E21" s="15" t="s">
        <v>45</v>
      </c>
      <c r="F21" s="15" t="s">
        <v>72</v>
      </c>
      <c r="G21" s="15" t="s">
        <v>66</v>
      </c>
      <c r="H21" s="15" t="s">
        <v>83</v>
      </c>
      <c r="I21" s="16">
        <v>906.54</v>
      </c>
      <c r="J21" s="15" t="s">
        <v>41</v>
      </c>
      <c r="K21" s="15" t="s">
        <v>42</v>
      </c>
      <c r="L21" s="15" t="s">
        <v>64</v>
      </c>
      <c r="M21" s="15"/>
    </row>
    <row r="22" ht="15.75" customHeight="1">
      <c r="A22" s="15" t="s">
        <v>20</v>
      </c>
      <c r="B22" s="15" t="s">
        <v>59</v>
      </c>
      <c r="C22" s="15">
        <v>19.0</v>
      </c>
      <c r="D22" s="15" t="s">
        <v>81</v>
      </c>
      <c r="E22" s="15" t="s">
        <v>45</v>
      </c>
      <c r="F22" s="15" t="s">
        <v>84</v>
      </c>
      <c r="G22" s="15" t="s">
        <v>62</v>
      </c>
      <c r="H22" s="15" t="s">
        <v>85</v>
      </c>
      <c r="I22" s="16">
        <v>75000.0</v>
      </c>
      <c r="J22" s="15" t="s">
        <v>41</v>
      </c>
      <c r="K22" s="15" t="s">
        <v>42</v>
      </c>
      <c r="L22" s="15" t="s">
        <v>64</v>
      </c>
      <c r="M22" s="15"/>
    </row>
    <row r="23" ht="15.75" customHeight="1">
      <c r="A23" s="15" t="s">
        <v>20</v>
      </c>
      <c r="B23" s="15" t="s">
        <v>59</v>
      </c>
      <c r="C23" s="15">
        <v>20.0</v>
      </c>
      <c r="D23" s="15" t="s">
        <v>81</v>
      </c>
      <c r="E23" s="15" t="s">
        <v>45</v>
      </c>
      <c r="F23" s="15" t="s">
        <v>84</v>
      </c>
      <c r="G23" s="15" t="s">
        <v>71</v>
      </c>
      <c r="H23" s="15" t="s">
        <v>85</v>
      </c>
      <c r="I23" s="16">
        <v>4787.23</v>
      </c>
      <c r="J23" s="15" t="s">
        <v>41</v>
      </c>
      <c r="K23" s="15" t="s">
        <v>42</v>
      </c>
      <c r="L23" s="15" t="s">
        <v>64</v>
      </c>
      <c r="M23" s="15"/>
    </row>
    <row r="24" ht="15.75" customHeight="1">
      <c r="A24" s="15" t="s">
        <v>20</v>
      </c>
      <c r="B24" s="15" t="s">
        <v>59</v>
      </c>
      <c r="C24" s="15">
        <v>21.0</v>
      </c>
      <c r="D24" s="15" t="s">
        <v>81</v>
      </c>
      <c r="E24" s="15" t="s">
        <v>45</v>
      </c>
      <c r="F24" s="15" t="s">
        <v>72</v>
      </c>
      <c r="G24" s="15" t="s">
        <v>66</v>
      </c>
      <c r="H24" s="15" t="s">
        <v>85</v>
      </c>
      <c r="I24" s="16">
        <v>1037.23</v>
      </c>
      <c r="J24" s="15" t="s">
        <v>41</v>
      </c>
      <c r="K24" s="15" t="s">
        <v>42</v>
      </c>
      <c r="L24" s="15" t="s">
        <v>64</v>
      </c>
      <c r="M24" s="15"/>
    </row>
    <row r="25" ht="15.75" customHeight="1">
      <c r="A25" s="15" t="s">
        <v>20</v>
      </c>
      <c r="B25" s="15" t="s">
        <v>59</v>
      </c>
      <c r="C25" s="15">
        <v>22.0</v>
      </c>
      <c r="D25" s="15" t="s">
        <v>86</v>
      </c>
      <c r="E25" s="15" t="s">
        <v>45</v>
      </c>
      <c r="F25" s="15" t="s">
        <v>87</v>
      </c>
      <c r="G25" s="15" t="s">
        <v>62</v>
      </c>
      <c r="H25" s="15" t="s">
        <v>88</v>
      </c>
      <c r="I25" s="16">
        <v>90000.0</v>
      </c>
      <c r="J25" s="15" t="s">
        <v>41</v>
      </c>
      <c r="K25" s="15" t="s">
        <v>42</v>
      </c>
      <c r="L25" s="15" t="s">
        <v>64</v>
      </c>
      <c r="M25" s="15"/>
    </row>
    <row r="26" ht="15.75" customHeight="1">
      <c r="A26" s="15" t="s">
        <v>20</v>
      </c>
      <c r="B26" s="15" t="s">
        <v>59</v>
      </c>
      <c r="C26" s="15">
        <v>23.0</v>
      </c>
      <c r="D26" s="15" t="s">
        <v>86</v>
      </c>
      <c r="E26" s="15" t="s">
        <v>45</v>
      </c>
      <c r="F26" s="15" t="s">
        <v>87</v>
      </c>
      <c r="G26" s="15" t="s">
        <v>71</v>
      </c>
      <c r="H26" s="15" t="s">
        <v>88</v>
      </c>
      <c r="I26" s="16">
        <v>5744.68</v>
      </c>
      <c r="J26" s="15" t="s">
        <v>41</v>
      </c>
      <c r="K26" s="15" t="s">
        <v>42</v>
      </c>
      <c r="L26" s="15" t="s">
        <v>64</v>
      </c>
      <c r="M26" s="15"/>
    </row>
    <row r="27" ht="15.75" customHeight="1">
      <c r="A27" s="15" t="s">
        <v>20</v>
      </c>
      <c r="B27" s="15" t="s">
        <v>59</v>
      </c>
      <c r="C27" s="15">
        <v>24.0</v>
      </c>
      <c r="D27" s="15" t="s">
        <v>86</v>
      </c>
      <c r="E27" s="15" t="s">
        <v>45</v>
      </c>
      <c r="F27" s="15" t="s">
        <v>72</v>
      </c>
      <c r="G27" s="15" t="s">
        <v>66</v>
      </c>
      <c r="H27" s="15" t="s">
        <v>88</v>
      </c>
      <c r="I27" s="16">
        <v>1244.68</v>
      </c>
      <c r="J27" s="15" t="s">
        <v>41</v>
      </c>
      <c r="K27" s="15" t="s">
        <v>42</v>
      </c>
      <c r="L27" s="15" t="s">
        <v>64</v>
      </c>
      <c r="M27" s="15"/>
    </row>
    <row r="28" ht="15.75" customHeight="1">
      <c r="A28" s="15" t="s">
        <v>20</v>
      </c>
      <c r="B28" s="15" t="s">
        <v>59</v>
      </c>
      <c r="C28" s="15">
        <v>25.0</v>
      </c>
      <c r="D28" s="15" t="s">
        <v>86</v>
      </c>
      <c r="E28" s="15" t="s">
        <v>45</v>
      </c>
      <c r="F28" s="15" t="s">
        <v>84</v>
      </c>
      <c r="G28" s="15" t="s">
        <v>62</v>
      </c>
      <c r="H28" s="15" t="s">
        <v>89</v>
      </c>
      <c r="I28" s="16">
        <v>75000.0</v>
      </c>
      <c r="J28" s="15" t="s">
        <v>41</v>
      </c>
      <c r="K28" s="15" t="s">
        <v>42</v>
      </c>
      <c r="L28" s="15" t="s">
        <v>64</v>
      </c>
      <c r="M28" s="15"/>
    </row>
    <row r="29" ht="15.75" customHeight="1">
      <c r="A29" s="15" t="s">
        <v>20</v>
      </c>
      <c r="B29" s="15" t="s">
        <v>59</v>
      </c>
      <c r="C29" s="15">
        <v>26.0</v>
      </c>
      <c r="D29" s="15" t="s">
        <v>86</v>
      </c>
      <c r="E29" s="15" t="s">
        <v>45</v>
      </c>
      <c r="F29" s="15" t="s">
        <v>84</v>
      </c>
      <c r="G29" s="15" t="s">
        <v>71</v>
      </c>
      <c r="H29" s="15" t="s">
        <v>89</v>
      </c>
      <c r="I29" s="16">
        <v>4787.23</v>
      </c>
      <c r="J29" s="15" t="s">
        <v>41</v>
      </c>
      <c r="K29" s="15" t="s">
        <v>42</v>
      </c>
      <c r="L29" s="15" t="s">
        <v>64</v>
      </c>
      <c r="M29" s="15"/>
    </row>
    <row r="30" ht="15.75" customHeight="1">
      <c r="A30" s="15" t="s">
        <v>20</v>
      </c>
      <c r="B30" s="15" t="s">
        <v>59</v>
      </c>
      <c r="C30" s="15">
        <v>27.0</v>
      </c>
      <c r="D30" s="15" t="s">
        <v>86</v>
      </c>
      <c r="E30" s="15" t="s">
        <v>45</v>
      </c>
      <c r="F30" s="15" t="s">
        <v>72</v>
      </c>
      <c r="G30" s="15" t="s">
        <v>66</v>
      </c>
      <c r="H30" s="15" t="s">
        <v>89</v>
      </c>
      <c r="I30" s="16">
        <v>1037.23</v>
      </c>
      <c r="J30" s="15" t="s">
        <v>41</v>
      </c>
      <c r="K30" s="15" t="s">
        <v>42</v>
      </c>
      <c r="L30" s="15" t="s">
        <v>64</v>
      </c>
      <c r="M30" s="15"/>
    </row>
    <row r="31" ht="15.75" customHeight="1">
      <c r="A31" s="15" t="s">
        <v>20</v>
      </c>
      <c r="B31" s="15" t="s">
        <v>59</v>
      </c>
      <c r="C31" s="15">
        <v>28.0</v>
      </c>
      <c r="D31" s="15" t="s">
        <v>90</v>
      </c>
      <c r="E31" s="15" t="s">
        <v>45</v>
      </c>
      <c r="F31" s="15" t="s">
        <v>67</v>
      </c>
      <c r="G31" s="15" t="s">
        <v>77</v>
      </c>
      <c r="H31" s="15" t="s">
        <v>91</v>
      </c>
      <c r="I31" s="16">
        <v>2250.0</v>
      </c>
      <c r="J31" s="15" t="s">
        <v>41</v>
      </c>
      <c r="K31" s="15" t="s">
        <v>42</v>
      </c>
      <c r="L31" s="15" t="s">
        <v>64</v>
      </c>
      <c r="M31" s="15"/>
    </row>
    <row r="32" ht="15.75" customHeight="1">
      <c r="A32" s="15" t="s">
        <v>20</v>
      </c>
      <c r="B32" s="15" t="s">
        <v>59</v>
      </c>
      <c r="C32" s="15">
        <v>29.0</v>
      </c>
      <c r="D32" s="15" t="s">
        <v>90</v>
      </c>
      <c r="E32" s="15" t="s">
        <v>45</v>
      </c>
      <c r="F32" s="15" t="s">
        <v>92</v>
      </c>
      <c r="G32" s="15" t="s">
        <v>93</v>
      </c>
      <c r="H32" s="15" t="s">
        <v>94</v>
      </c>
      <c r="I32" s="16">
        <v>1800.0</v>
      </c>
      <c r="J32" s="15" t="s">
        <v>41</v>
      </c>
      <c r="K32" s="15" t="s">
        <v>42</v>
      </c>
      <c r="L32" s="15" t="s">
        <v>64</v>
      </c>
      <c r="M32" s="15"/>
    </row>
    <row r="33" ht="15.75" customHeight="1">
      <c r="A33" s="15" t="s">
        <v>20</v>
      </c>
      <c r="B33" s="15" t="s">
        <v>59</v>
      </c>
      <c r="C33" s="15">
        <v>30.0</v>
      </c>
      <c r="D33" s="15" t="s">
        <v>90</v>
      </c>
      <c r="E33" s="15" t="s">
        <v>45</v>
      </c>
      <c r="F33" s="15" t="s">
        <v>95</v>
      </c>
      <c r="G33" s="15" t="s">
        <v>66</v>
      </c>
      <c r="H33" s="15" t="s">
        <v>94</v>
      </c>
      <c r="I33" s="16">
        <v>21.6</v>
      </c>
      <c r="J33" s="15" t="s">
        <v>41</v>
      </c>
      <c r="K33" s="15" t="s">
        <v>42</v>
      </c>
      <c r="L33" s="15" t="s">
        <v>64</v>
      </c>
      <c r="M33" s="15"/>
    </row>
    <row r="34" ht="15.75" customHeight="1">
      <c r="A34" s="15" t="s">
        <v>46</v>
      </c>
      <c r="B34" s="15" t="s">
        <v>59</v>
      </c>
      <c r="C34" s="15">
        <v>31.0</v>
      </c>
      <c r="D34" s="15" t="s">
        <v>96</v>
      </c>
      <c r="E34" s="15" t="s">
        <v>49</v>
      </c>
      <c r="F34" s="15" t="s">
        <v>97</v>
      </c>
      <c r="G34" s="15" t="s">
        <v>98</v>
      </c>
      <c r="H34" s="15" t="s">
        <v>99</v>
      </c>
      <c r="I34" s="16">
        <v>8377.7</v>
      </c>
      <c r="J34" s="15" t="s">
        <v>41</v>
      </c>
      <c r="K34" s="15" t="s">
        <v>42</v>
      </c>
      <c r="L34" s="15" t="s">
        <v>64</v>
      </c>
      <c r="M34" s="15"/>
    </row>
    <row r="35" ht="15.75" customHeight="1">
      <c r="A35" s="15" t="s">
        <v>46</v>
      </c>
      <c r="B35" s="15" t="s">
        <v>59</v>
      </c>
      <c r="C35" s="15">
        <v>32.0</v>
      </c>
      <c r="D35" s="15" t="s">
        <v>96</v>
      </c>
      <c r="E35" s="15" t="s">
        <v>49</v>
      </c>
      <c r="F35" s="15" t="s">
        <v>65</v>
      </c>
      <c r="G35" s="15" t="s">
        <v>66</v>
      </c>
      <c r="H35" s="15" t="s">
        <v>99</v>
      </c>
      <c r="I35" s="16">
        <v>151.06</v>
      </c>
      <c r="J35" s="15" t="s">
        <v>41</v>
      </c>
      <c r="K35" s="15" t="s">
        <v>42</v>
      </c>
      <c r="L35" s="15" t="s">
        <v>64</v>
      </c>
      <c r="M35" s="15"/>
    </row>
    <row r="36" ht="15.75" customHeight="1">
      <c r="A36" s="15" t="s">
        <v>20</v>
      </c>
      <c r="B36" s="15" t="s">
        <v>59</v>
      </c>
      <c r="C36" s="15">
        <v>33.0</v>
      </c>
      <c r="D36" s="15" t="s">
        <v>96</v>
      </c>
      <c r="E36" s="15" t="s">
        <v>45</v>
      </c>
      <c r="F36" s="15" t="s">
        <v>69</v>
      </c>
      <c r="G36" s="15" t="s">
        <v>77</v>
      </c>
      <c r="H36" s="15" t="s">
        <v>100</v>
      </c>
      <c r="I36" s="16">
        <v>50232.0</v>
      </c>
      <c r="J36" s="15" t="s">
        <v>41</v>
      </c>
      <c r="K36" s="15" t="s">
        <v>42</v>
      </c>
      <c r="L36" s="15" t="s">
        <v>64</v>
      </c>
      <c r="M36" s="15"/>
    </row>
    <row r="37" ht="15.75" customHeight="1">
      <c r="A37" s="15" t="s">
        <v>20</v>
      </c>
      <c r="B37" s="15" t="s">
        <v>59</v>
      </c>
      <c r="C37" s="15">
        <v>34.0</v>
      </c>
      <c r="D37" s="15" t="s">
        <v>96</v>
      </c>
      <c r="E37" s="15" t="s">
        <v>45</v>
      </c>
      <c r="F37" s="15" t="s">
        <v>69</v>
      </c>
      <c r="G37" s="15" t="s">
        <v>101</v>
      </c>
      <c r="H37" s="15" t="s">
        <v>100</v>
      </c>
      <c r="I37" s="16">
        <v>3206.3</v>
      </c>
      <c r="J37" s="15" t="s">
        <v>41</v>
      </c>
      <c r="K37" s="15" t="s">
        <v>42</v>
      </c>
      <c r="L37" s="15" t="s">
        <v>64</v>
      </c>
      <c r="M37" s="15"/>
    </row>
    <row r="38" ht="15.75" customHeight="1">
      <c r="A38" s="15" t="s">
        <v>20</v>
      </c>
      <c r="B38" s="15" t="s">
        <v>59</v>
      </c>
      <c r="C38" s="15">
        <v>35.0</v>
      </c>
      <c r="D38" s="15" t="s">
        <v>96</v>
      </c>
      <c r="E38" s="15" t="s">
        <v>45</v>
      </c>
      <c r="F38" s="15" t="s">
        <v>72</v>
      </c>
      <c r="G38" s="15" t="s">
        <v>66</v>
      </c>
      <c r="H38" s="15" t="s">
        <v>100</v>
      </c>
      <c r="I38" s="16">
        <v>694.7</v>
      </c>
      <c r="J38" s="15" t="s">
        <v>41</v>
      </c>
      <c r="K38" s="15" t="s">
        <v>42</v>
      </c>
      <c r="L38" s="15" t="s">
        <v>64</v>
      </c>
      <c r="M38" s="15"/>
    </row>
    <row r="39" ht="15.75" customHeight="1">
      <c r="A39" s="15" t="s">
        <v>20</v>
      </c>
      <c r="B39" s="15" t="s">
        <v>59</v>
      </c>
      <c r="C39" s="15">
        <v>36.0</v>
      </c>
      <c r="D39" s="15" t="s">
        <v>96</v>
      </c>
      <c r="E39" s="15" t="s">
        <v>45</v>
      </c>
      <c r="F39" s="15" t="s">
        <v>82</v>
      </c>
      <c r="G39" s="15" t="s">
        <v>77</v>
      </c>
      <c r="H39" s="15" t="s">
        <v>102</v>
      </c>
      <c r="I39" s="16">
        <v>5000.0</v>
      </c>
      <c r="J39" s="15" t="s">
        <v>41</v>
      </c>
      <c r="K39" s="15" t="s">
        <v>42</v>
      </c>
      <c r="L39" s="15" t="s">
        <v>64</v>
      </c>
      <c r="M39" s="15"/>
    </row>
    <row r="40" ht="15.75" customHeight="1">
      <c r="A40" s="15" t="s">
        <v>20</v>
      </c>
      <c r="B40" s="15" t="s">
        <v>59</v>
      </c>
      <c r="C40" s="15">
        <v>37.0</v>
      </c>
      <c r="D40" s="15" t="s">
        <v>96</v>
      </c>
      <c r="E40" s="15" t="s">
        <v>45</v>
      </c>
      <c r="F40" s="15" t="s">
        <v>82</v>
      </c>
      <c r="G40" s="15" t="s">
        <v>101</v>
      </c>
      <c r="H40" s="15" t="s">
        <v>102</v>
      </c>
      <c r="I40" s="16">
        <v>319.15</v>
      </c>
      <c r="J40" s="15" t="s">
        <v>41</v>
      </c>
      <c r="K40" s="15" t="s">
        <v>42</v>
      </c>
      <c r="L40" s="15" t="s">
        <v>64</v>
      </c>
      <c r="M40" s="15"/>
    </row>
    <row r="41" ht="15.75" customHeight="1">
      <c r="A41" s="15" t="s">
        <v>20</v>
      </c>
      <c r="B41" s="15" t="s">
        <v>59</v>
      </c>
      <c r="C41" s="15">
        <v>38.0</v>
      </c>
      <c r="D41" s="15" t="s">
        <v>96</v>
      </c>
      <c r="E41" s="15" t="s">
        <v>45</v>
      </c>
      <c r="F41" s="15" t="s">
        <v>72</v>
      </c>
      <c r="G41" s="15" t="s">
        <v>66</v>
      </c>
      <c r="H41" s="15" t="s">
        <v>102</v>
      </c>
      <c r="I41" s="16">
        <v>69.15</v>
      </c>
      <c r="J41" s="15" t="s">
        <v>41</v>
      </c>
      <c r="K41" s="15" t="s">
        <v>42</v>
      </c>
      <c r="L41" s="15" t="s">
        <v>64</v>
      </c>
      <c r="M41" s="15"/>
    </row>
    <row r="42" ht="15.75" customHeight="1">
      <c r="A42" s="15" t="s">
        <v>20</v>
      </c>
      <c r="B42" s="15" t="s">
        <v>59</v>
      </c>
      <c r="C42" s="15">
        <v>39.0</v>
      </c>
      <c r="D42" s="15" t="s">
        <v>96</v>
      </c>
      <c r="E42" s="15" t="s">
        <v>45</v>
      </c>
      <c r="F42" s="15" t="s">
        <v>73</v>
      </c>
      <c r="G42" s="15" t="s">
        <v>77</v>
      </c>
      <c r="H42" s="15" t="s">
        <v>103</v>
      </c>
      <c r="I42" s="16">
        <v>4250.0</v>
      </c>
      <c r="J42" s="15" t="s">
        <v>41</v>
      </c>
      <c r="K42" s="15" t="s">
        <v>42</v>
      </c>
      <c r="L42" s="15" t="s">
        <v>64</v>
      </c>
      <c r="M42" s="15"/>
    </row>
    <row r="43" ht="15.75" customHeight="1">
      <c r="A43" s="15" t="s">
        <v>20</v>
      </c>
      <c r="B43" s="15" t="s">
        <v>59</v>
      </c>
      <c r="C43" s="15">
        <v>40.0</v>
      </c>
      <c r="D43" s="15" t="s">
        <v>96</v>
      </c>
      <c r="E43" s="15" t="s">
        <v>45</v>
      </c>
      <c r="F43" s="15" t="s">
        <v>73</v>
      </c>
      <c r="G43" s="15" t="s">
        <v>101</v>
      </c>
      <c r="H43" s="15" t="s">
        <v>103</v>
      </c>
      <c r="I43" s="16">
        <v>271.28</v>
      </c>
      <c r="J43" s="15" t="s">
        <v>41</v>
      </c>
      <c r="K43" s="15" t="s">
        <v>42</v>
      </c>
      <c r="L43" s="15" t="s">
        <v>64</v>
      </c>
      <c r="M43" s="15"/>
    </row>
    <row r="44" ht="15.75" customHeight="1">
      <c r="A44" s="15" t="s">
        <v>20</v>
      </c>
      <c r="B44" s="15" t="s">
        <v>59</v>
      </c>
      <c r="C44" s="15">
        <v>41.0</v>
      </c>
      <c r="D44" s="15" t="s">
        <v>96</v>
      </c>
      <c r="E44" s="15" t="s">
        <v>45</v>
      </c>
      <c r="F44" s="15" t="s">
        <v>72</v>
      </c>
      <c r="G44" s="15" t="s">
        <v>66</v>
      </c>
      <c r="H44" s="15" t="s">
        <v>103</v>
      </c>
      <c r="I44" s="16">
        <v>58.78</v>
      </c>
      <c r="J44" s="15" t="s">
        <v>41</v>
      </c>
      <c r="K44" s="15" t="s">
        <v>42</v>
      </c>
      <c r="L44" s="15" t="s">
        <v>64</v>
      </c>
      <c r="M44" s="15"/>
    </row>
    <row r="45" ht="15.75" customHeight="1">
      <c r="A45" s="15" t="s">
        <v>46</v>
      </c>
      <c r="B45" s="15" t="s">
        <v>59</v>
      </c>
      <c r="C45" s="15">
        <v>42.0</v>
      </c>
      <c r="D45" s="15" t="s">
        <v>104</v>
      </c>
      <c r="E45" s="15" t="s">
        <v>49</v>
      </c>
      <c r="F45" s="15" t="s">
        <v>105</v>
      </c>
      <c r="G45" s="15" t="s">
        <v>106</v>
      </c>
      <c r="H45" s="15" t="s">
        <v>107</v>
      </c>
      <c r="I45" s="16">
        <v>17700.0</v>
      </c>
      <c r="J45" s="15" t="s">
        <v>108</v>
      </c>
      <c r="K45" s="15" t="s">
        <v>42</v>
      </c>
      <c r="L45" s="15" t="s">
        <v>109</v>
      </c>
      <c r="M45" s="15"/>
    </row>
    <row r="46" ht="15.75" customHeight="1">
      <c r="A46" s="15" t="s">
        <v>46</v>
      </c>
      <c r="B46" s="15" t="s">
        <v>59</v>
      </c>
      <c r="C46" s="15">
        <v>43.0</v>
      </c>
      <c r="D46" s="15" t="s">
        <v>104</v>
      </c>
      <c r="E46" s="15" t="s">
        <v>49</v>
      </c>
      <c r="F46" s="15" t="s">
        <v>105</v>
      </c>
      <c r="G46" s="15" t="s">
        <v>106</v>
      </c>
      <c r="H46" s="15" t="s">
        <v>110</v>
      </c>
      <c r="I46" s="16">
        <v>4200.0</v>
      </c>
      <c r="J46" s="15" t="s">
        <v>108</v>
      </c>
      <c r="K46" s="15" t="s">
        <v>42</v>
      </c>
      <c r="L46" s="15" t="s">
        <v>109</v>
      </c>
      <c r="M46" s="15"/>
    </row>
    <row r="47" ht="15.75" customHeight="1">
      <c r="A47" s="15" t="s">
        <v>46</v>
      </c>
      <c r="B47" s="15" t="s">
        <v>59</v>
      </c>
      <c r="C47" s="15">
        <v>44.0</v>
      </c>
      <c r="D47" s="15" t="s">
        <v>104</v>
      </c>
      <c r="E47" s="15" t="s">
        <v>49</v>
      </c>
      <c r="F47" s="15" t="s">
        <v>111</v>
      </c>
      <c r="G47" s="15" t="s">
        <v>98</v>
      </c>
      <c r="H47" s="15" t="s">
        <v>112</v>
      </c>
      <c r="I47" s="16">
        <v>3780.0</v>
      </c>
      <c r="J47" s="15" t="s">
        <v>108</v>
      </c>
      <c r="K47" s="15" t="s">
        <v>42</v>
      </c>
      <c r="L47" s="15" t="s">
        <v>109</v>
      </c>
      <c r="M47" s="15"/>
    </row>
    <row r="48" ht="15.75" customHeight="1">
      <c r="A48" s="15" t="s">
        <v>46</v>
      </c>
      <c r="B48" s="15" t="s">
        <v>59</v>
      </c>
      <c r="C48" s="15">
        <v>45.0</v>
      </c>
      <c r="D48" s="15" t="s">
        <v>104</v>
      </c>
      <c r="E48" s="15" t="s">
        <v>49</v>
      </c>
      <c r="F48" s="15" t="s">
        <v>113</v>
      </c>
      <c r="G48" s="15" t="s">
        <v>93</v>
      </c>
      <c r="H48" s="15" t="s">
        <v>114</v>
      </c>
      <c r="I48" s="16">
        <v>8500.0</v>
      </c>
      <c r="J48" s="15" t="s">
        <v>108</v>
      </c>
      <c r="K48" s="15" t="s">
        <v>42</v>
      </c>
      <c r="L48" s="15" t="s">
        <v>109</v>
      </c>
      <c r="M48" s="15"/>
    </row>
    <row r="49" ht="15.75" customHeight="1">
      <c r="A49" s="15" t="s">
        <v>46</v>
      </c>
      <c r="B49" s="15" t="s">
        <v>59</v>
      </c>
      <c r="C49" s="15">
        <v>46.0</v>
      </c>
      <c r="D49" s="15" t="s">
        <v>104</v>
      </c>
      <c r="E49" s="15" t="s">
        <v>49</v>
      </c>
      <c r="F49" s="15" t="s">
        <v>113</v>
      </c>
      <c r="G49" s="15" t="s">
        <v>115</v>
      </c>
      <c r="H49" s="15" t="s">
        <v>116</v>
      </c>
      <c r="I49" s="16">
        <v>157.48</v>
      </c>
      <c r="J49" s="15" t="s">
        <v>108</v>
      </c>
      <c r="K49" s="15" t="s">
        <v>42</v>
      </c>
      <c r="L49" s="15" t="s">
        <v>109</v>
      </c>
      <c r="M49" s="15"/>
    </row>
    <row r="50" ht="15.75" customHeight="1">
      <c r="A50" s="15" t="s">
        <v>46</v>
      </c>
      <c r="B50" s="15" t="s">
        <v>59</v>
      </c>
      <c r="C50" s="15">
        <v>47.0</v>
      </c>
      <c r="D50" s="15" t="s">
        <v>104</v>
      </c>
      <c r="E50" s="15" t="s">
        <v>49</v>
      </c>
      <c r="F50" s="15" t="s">
        <v>117</v>
      </c>
      <c r="G50" s="15" t="s">
        <v>118</v>
      </c>
      <c r="H50" s="15" t="s">
        <v>119</v>
      </c>
      <c r="I50" s="16">
        <v>50000.0</v>
      </c>
      <c r="J50" s="15" t="s">
        <v>41</v>
      </c>
      <c r="K50" s="15" t="s">
        <v>42</v>
      </c>
      <c r="L50" s="15" t="s">
        <v>120</v>
      </c>
      <c r="M50" s="15" t="s">
        <v>121</v>
      </c>
    </row>
    <row r="51" ht="15.75" customHeight="1">
      <c r="A51" s="15" t="s">
        <v>46</v>
      </c>
      <c r="B51" s="15" t="s">
        <v>122</v>
      </c>
      <c r="C51" s="15">
        <v>11.0</v>
      </c>
      <c r="D51" s="15" t="s">
        <v>123</v>
      </c>
      <c r="E51" s="15" t="s">
        <v>49</v>
      </c>
      <c r="F51" s="15" t="s">
        <v>79</v>
      </c>
      <c r="G51" s="15" t="s">
        <v>66</v>
      </c>
      <c r="H51" s="15"/>
      <c r="I51" s="16">
        <v>700.0</v>
      </c>
      <c r="J51" s="15" t="s">
        <v>41</v>
      </c>
      <c r="K51" s="15" t="s">
        <v>42</v>
      </c>
      <c r="L51" s="15" t="s">
        <v>64</v>
      </c>
      <c r="M51" s="15" t="s">
        <v>124</v>
      </c>
    </row>
    <row r="52" ht="15.75" customHeight="1">
      <c r="A52" s="15" t="s">
        <v>46</v>
      </c>
      <c r="B52" s="15" t="s">
        <v>122</v>
      </c>
      <c r="C52" s="15">
        <v>12.0</v>
      </c>
      <c r="D52" s="15" t="s">
        <v>123</v>
      </c>
      <c r="E52" s="15" t="s">
        <v>49</v>
      </c>
      <c r="F52" s="15" t="s">
        <v>125</v>
      </c>
      <c r="G52" s="15" t="s">
        <v>126</v>
      </c>
      <c r="H52" s="15"/>
      <c r="I52" s="16">
        <v>9871.69</v>
      </c>
      <c r="J52" s="15" t="s">
        <v>127</v>
      </c>
      <c r="K52" s="15" t="s">
        <v>128</v>
      </c>
      <c r="L52" s="15" t="s">
        <v>129</v>
      </c>
      <c r="M52" s="15"/>
    </row>
    <row r="53" ht="15.75" customHeight="1">
      <c r="A53" s="15" t="s">
        <v>46</v>
      </c>
      <c r="B53" s="15" t="s">
        <v>122</v>
      </c>
      <c r="C53" s="15">
        <v>13.0</v>
      </c>
      <c r="D53" s="15" t="s">
        <v>123</v>
      </c>
      <c r="E53" s="15" t="s">
        <v>49</v>
      </c>
      <c r="F53" s="15" t="s">
        <v>130</v>
      </c>
      <c r="G53" s="15" t="s">
        <v>131</v>
      </c>
      <c r="H53" s="15"/>
      <c r="I53" s="16">
        <v>1477811.0</v>
      </c>
      <c r="J53" s="15" t="s">
        <v>127</v>
      </c>
      <c r="K53" s="15" t="s">
        <v>128</v>
      </c>
      <c r="L53" s="15" t="s">
        <v>129</v>
      </c>
      <c r="M53" s="15" t="s">
        <v>132</v>
      </c>
    </row>
    <row r="54" ht="15.75" customHeight="1">
      <c r="A54" s="15" t="s">
        <v>46</v>
      </c>
      <c r="B54" s="15" t="s">
        <v>122</v>
      </c>
      <c r="C54" s="15">
        <v>14.0</v>
      </c>
      <c r="D54" s="15" t="s">
        <v>123</v>
      </c>
      <c r="E54" s="15" t="s">
        <v>49</v>
      </c>
      <c r="F54" s="15" t="s">
        <v>133</v>
      </c>
      <c r="G54" s="15" t="s">
        <v>131</v>
      </c>
      <c r="H54" s="15"/>
      <c r="I54" s="16">
        <v>1485137.0</v>
      </c>
      <c r="J54" s="15" t="s">
        <v>127</v>
      </c>
      <c r="K54" s="15" t="s">
        <v>128</v>
      </c>
      <c r="L54" s="15" t="s">
        <v>129</v>
      </c>
      <c r="M54" s="15" t="s">
        <v>134</v>
      </c>
    </row>
    <row r="55" ht="15.75" customHeight="1">
      <c r="A55" s="15" t="s">
        <v>20</v>
      </c>
      <c r="B55" s="15" t="s">
        <v>122</v>
      </c>
      <c r="C55" s="15">
        <v>15.0</v>
      </c>
      <c r="D55" s="15" t="s">
        <v>123</v>
      </c>
      <c r="E55" s="15" t="s">
        <v>45</v>
      </c>
      <c r="F55" s="15" t="s">
        <v>97</v>
      </c>
      <c r="G55" s="15" t="s">
        <v>98</v>
      </c>
      <c r="H55" s="15" t="s">
        <v>135</v>
      </c>
      <c r="I55" s="16">
        <v>1349.0</v>
      </c>
      <c r="J55" s="15" t="s">
        <v>41</v>
      </c>
      <c r="K55" s="15" t="s">
        <v>42</v>
      </c>
      <c r="L55" s="15" t="s">
        <v>64</v>
      </c>
      <c r="M55" s="15"/>
    </row>
    <row r="56" ht="15.75" customHeight="1">
      <c r="A56" s="15" t="s">
        <v>46</v>
      </c>
      <c r="B56" s="15" t="s">
        <v>122</v>
      </c>
      <c r="C56" s="15">
        <v>16.0</v>
      </c>
      <c r="D56" s="15" t="s">
        <v>123</v>
      </c>
      <c r="E56" s="15" t="s">
        <v>49</v>
      </c>
      <c r="F56" s="15" t="s">
        <v>97</v>
      </c>
      <c r="G56" s="15" t="s">
        <v>98</v>
      </c>
      <c r="H56" s="15" t="s">
        <v>136</v>
      </c>
      <c r="I56" s="16">
        <v>8522.69</v>
      </c>
      <c r="J56" s="15" t="s">
        <v>41</v>
      </c>
      <c r="K56" s="15" t="s">
        <v>42</v>
      </c>
      <c r="L56" s="15" t="s">
        <v>64</v>
      </c>
      <c r="M56" s="15"/>
    </row>
    <row r="57" ht="15.75" customHeight="1">
      <c r="A57" s="15" t="s">
        <v>46</v>
      </c>
      <c r="B57" s="15" t="s">
        <v>122</v>
      </c>
      <c r="C57" s="15">
        <v>19.0</v>
      </c>
      <c r="D57" s="15" t="s">
        <v>137</v>
      </c>
      <c r="E57" s="15" t="s">
        <v>49</v>
      </c>
      <c r="F57" s="15" t="s">
        <v>138</v>
      </c>
      <c r="G57" s="15" t="s">
        <v>118</v>
      </c>
      <c r="H57" s="15" t="s">
        <v>139</v>
      </c>
      <c r="I57" s="16">
        <v>25000.0</v>
      </c>
      <c r="J57" s="15" t="s">
        <v>41</v>
      </c>
      <c r="K57" s="15" t="s">
        <v>42</v>
      </c>
      <c r="L57" s="15" t="s">
        <v>64</v>
      </c>
      <c r="M57" s="15" t="s">
        <v>140</v>
      </c>
    </row>
    <row r="58" ht="15.75" customHeight="1">
      <c r="A58" s="15" t="s">
        <v>46</v>
      </c>
      <c r="B58" s="15" t="s">
        <v>122</v>
      </c>
      <c r="C58" s="15">
        <v>21.0</v>
      </c>
      <c r="D58" s="15" t="s">
        <v>60</v>
      </c>
      <c r="E58" s="15" t="s">
        <v>49</v>
      </c>
      <c r="F58" s="15" t="s">
        <v>97</v>
      </c>
      <c r="G58" s="15" t="s">
        <v>98</v>
      </c>
      <c r="H58" s="15" t="s">
        <v>141</v>
      </c>
      <c r="I58" s="16">
        <v>1576.65</v>
      </c>
      <c r="J58" s="15" t="s">
        <v>41</v>
      </c>
      <c r="K58" s="15" t="s">
        <v>42</v>
      </c>
      <c r="L58" s="15" t="s">
        <v>64</v>
      </c>
      <c r="M58" s="15" t="s">
        <v>142</v>
      </c>
    </row>
    <row r="59" ht="15.75" customHeight="1">
      <c r="A59" s="15" t="s">
        <v>46</v>
      </c>
      <c r="B59" s="15" t="s">
        <v>122</v>
      </c>
      <c r="C59" s="15">
        <v>25.0</v>
      </c>
      <c r="D59" s="15" t="s">
        <v>75</v>
      </c>
      <c r="E59" s="15" t="s">
        <v>49</v>
      </c>
      <c r="F59" s="15" t="s">
        <v>133</v>
      </c>
      <c r="G59" s="15" t="s">
        <v>131</v>
      </c>
      <c r="H59" s="15"/>
      <c r="I59" s="16">
        <v>1493837.0</v>
      </c>
      <c r="J59" s="15" t="s">
        <v>127</v>
      </c>
      <c r="K59" s="15" t="s">
        <v>128</v>
      </c>
      <c r="L59" s="15" t="s">
        <v>129</v>
      </c>
      <c r="M59" s="15" t="s">
        <v>143</v>
      </c>
    </row>
    <row r="60" ht="15.75" customHeight="1">
      <c r="A60" s="15" t="s">
        <v>46</v>
      </c>
      <c r="B60" s="15" t="s">
        <v>122</v>
      </c>
      <c r="C60" s="15">
        <v>26.0</v>
      </c>
      <c r="D60" s="15" t="s">
        <v>75</v>
      </c>
      <c r="E60" s="15" t="s">
        <v>49</v>
      </c>
      <c r="F60" s="15" t="s">
        <v>130</v>
      </c>
      <c r="G60" s="15" t="s">
        <v>131</v>
      </c>
      <c r="H60" s="15"/>
      <c r="I60" s="16">
        <v>1507005.0</v>
      </c>
      <c r="J60" s="15" t="s">
        <v>127</v>
      </c>
      <c r="K60" s="15" t="s">
        <v>128</v>
      </c>
      <c r="L60" s="15" t="s">
        <v>129</v>
      </c>
      <c r="M60" s="15" t="s">
        <v>144</v>
      </c>
    </row>
    <row r="61" ht="15.75" customHeight="1">
      <c r="A61" s="15" t="s">
        <v>46</v>
      </c>
      <c r="B61" s="15" t="s">
        <v>122</v>
      </c>
      <c r="C61" s="15">
        <v>28.0</v>
      </c>
      <c r="D61" s="15" t="s">
        <v>81</v>
      </c>
      <c r="E61" s="15" t="s">
        <v>49</v>
      </c>
      <c r="F61" s="15" t="s">
        <v>125</v>
      </c>
      <c r="G61" s="15" t="s">
        <v>126</v>
      </c>
      <c r="H61" s="15"/>
      <c r="I61" s="16">
        <v>5635.0</v>
      </c>
      <c r="J61" s="15" t="s">
        <v>127</v>
      </c>
      <c r="K61" s="15" t="s">
        <v>128</v>
      </c>
      <c r="L61" s="15" t="s">
        <v>129</v>
      </c>
      <c r="M61" s="15"/>
    </row>
    <row r="62" ht="15.75" customHeight="1">
      <c r="A62" s="15" t="s">
        <v>46</v>
      </c>
      <c r="B62" s="15" t="s">
        <v>122</v>
      </c>
      <c r="C62" s="15">
        <v>29.0</v>
      </c>
      <c r="D62" s="15" t="s">
        <v>81</v>
      </c>
      <c r="E62" s="15" t="s">
        <v>49</v>
      </c>
      <c r="F62" s="15" t="s">
        <v>87</v>
      </c>
      <c r="G62" s="15" t="s">
        <v>98</v>
      </c>
      <c r="H62" s="15" t="s">
        <v>145</v>
      </c>
      <c r="I62" s="16">
        <v>5635.0</v>
      </c>
      <c r="J62" s="15" t="s">
        <v>41</v>
      </c>
      <c r="K62" s="15" t="s">
        <v>42</v>
      </c>
      <c r="L62" s="15" t="s">
        <v>64</v>
      </c>
      <c r="M62" s="15"/>
    </row>
    <row r="63" ht="15.75" customHeight="1">
      <c r="A63" s="15" t="s">
        <v>46</v>
      </c>
      <c r="B63" s="15" t="s">
        <v>122</v>
      </c>
      <c r="C63" s="15">
        <v>36.0</v>
      </c>
      <c r="D63" s="15" t="s">
        <v>86</v>
      </c>
      <c r="E63" s="15" t="s">
        <v>49</v>
      </c>
      <c r="F63" s="15" t="s">
        <v>79</v>
      </c>
      <c r="G63" s="15" t="s">
        <v>66</v>
      </c>
      <c r="H63" s="15"/>
      <c r="I63" s="16">
        <v>50.0</v>
      </c>
      <c r="J63" s="15" t="s">
        <v>41</v>
      </c>
      <c r="K63" s="15" t="s">
        <v>42</v>
      </c>
      <c r="L63" s="15" t="s">
        <v>64</v>
      </c>
      <c r="M63" s="15" t="s">
        <v>146</v>
      </c>
    </row>
    <row r="64" ht="15.75" customHeight="1">
      <c r="A64" s="15" t="s">
        <v>46</v>
      </c>
      <c r="B64" s="15" t="s">
        <v>122</v>
      </c>
      <c r="C64" s="15">
        <v>37.0</v>
      </c>
      <c r="D64" s="15" t="s">
        <v>147</v>
      </c>
      <c r="E64" s="15" t="s">
        <v>49</v>
      </c>
      <c r="F64" s="15" t="s">
        <v>148</v>
      </c>
      <c r="G64" s="15" t="s">
        <v>118</v>
      </c>
      <c r="H64" s="15" t="s">
        <v>149</v>
      </c>
      <c r="I64" s="16">
        <v>60000.0</v>
      </c>
      <c r="J64" s="15" t="s">
        <v>41</v>
      </c>
      <c r="K64" s="15" t="s">
        <v>42</v>
      </c>
      <c r="L64" s="15" t="s">
        <v>64</v>
      </c>
      <c r="M64" s="15" t="s">
        <v>150</v>
      </c>
    </row>
    <row r="65" ht="15.75" customHeight="1">
      <c r="A65" s="15" t="s">
        <v>46</v>
      </c>
      <c r="B65" s="15" t="s">
        <v>122</v>
      </c>
      <c r="C65" s="15">
        <v>38.0</v>
      </c>
      <c r="D65" s="15" t="s">
        <v>147</v>
      </c>
      <c r="E65" s="15" t="s">
        <v>49</v>
      </c>
      <c r="F65" s="15" t="s">
        <v>151</v>
      </c>
      <c r="G65" s="15" t="s">
        <v>118</v>
      </c>
      <c r="H65" s="15" t="s">
        <v>152</v>
      </c>
      <c r="I65" s="16">
        <v>40000.0</v>
      </c>
      <c r="J65" s="15" t="s">
        <v>41</v>
      </c>
      <c r="K65" s="15" t="s">
        <v>42</v>
      </c>
      <c r="L65" s="15" t="s">
        <v>64</v>
      </c>
      <c r="M65" s="15" t="s">
        <v>153</v>
      </c>
    </row>
    <row r="66" ht="15.75" customHeight="1">
      <c r="A66" s="15" t="s">
        <v>46</v>
      </c>
      <c r="B66" s="15" t="s">
        <v>122</v>
      </c>
      <c r="C66" s="15">
        <v>46.0</v>
      </c>
      <c r="D66" s="15" t="s">
        <v>154</v>
      </c>
      <c r="E66" s="15" t="s">
        <v>49</v>
      </c>
      <c r="F66" s="15" t="s">
        <v>79</v>
      </c>
      <c r="G66" s="15" t="s">
        <v>66</v>
      </c>
      <c r="H66" s="15"/>
      <c r="I66" s="16">
        <v>199.0</v>
      </c>
      <c r="J66" s="15" t="s">
        <v>41</v>
      </c>
      <c r="K66" s="15" t="s">
        <v>42</v>
      </c>
      <c r="L66" s="15" t="s">
        <v>64</v>
      </c>
      <c r="M66" s="15" t="s">
        <v>155</v>
      </c>
    </row>
    <row r="67" ht="15.75" customHeight="1">
      <c r="A67" s="15" t="s">
        <v>46</v>
      </c>
      <c r="B67" s="15" t="s">
        <v>122</v>
      </c>
      <c r="C67" s="15">
        <v>56.0</v>
      </c>
      <c r="D67" s="15" t="s">
        <v>156</v>
      </c>
      <c r="E67" s="15" t="s">
        <v>49</v>
      </c>
      <c r="F67" s="15" t="s">
        <v>125</v>
      </c>
      <c r="G67" s="15" t="s">
        <v>126</v>
      </c>
      <c r="H67" s="15"/>
      <c r="I67" s="16">
        <v>12198.0</v>
      </c>
      <c r="J67" s="15" t="s">
        <v>127</v>
      </c>
      <c r="K67" s="15" t="s">
        <v>128</v>
      </c>
      <c r="L67" s="15" t="s">
        <v>129</v>
      </c>
      <c r="M67" s="15"/>
    </row>
    <row r="68" ht="15.75" customHeight="1">
      <c r="A68" s="15" t="s">
        <v>46</v>
      </c>
      <c r="B68" s="15" t="s">
        <v>122</v>
      </c>
      <c r="C68" s="15">
        <v>57.0</v>
      </c>
      <c r="D68" s="15" t="s">
        <v>156</v>
      </c>
      <c r="E68" s="15" t="s">
        <v>49</v>
      </c>
      <c r="F68" s="15" t="s">
        <v>87</v>
      </c>
      <c r="G68" s="15" t="s">
        <v>98</v>
      </c>
      <c r="H68" s="15" t="s">
        <v>157</v>
      </c>
      <c r="I68" s="16">
        <v>12198.0</v>
      </c>
      <c r="J68" s="15" t="s">
        <v>41</v>
      </c>
      <c r="K68" s="15" t="s">
        <v>42</v>
      </c>
      <c r="L68" s="15" t="s">
        <v>64</v>
      </c>
      <c r="M68" s="15"/>
    </row>
    <row r="69" ht="15.75" customHeight="1">
      <c r="A69" s="15" t="s">
        <v>46</v>
      </c>
      <c r="B69" s="15" t="s">
        <v>122</v>
      </c>
      <c r="C69" s="15">
        <v>95.0</v>
      </c>
      <c r="D69" s="15" t="s">
        <v>158</v>
      </c>
      <c r="E69" s="15" t="s">
        <v>49</v>
      </c>
      <c r="F69" s="15" t="s">
        <v>125</v>
      </c>
      <c r="G69" s="15" t="s">
        <v>126</v>
      </c>
      <c r="H69" s="15"/>
      <c r="I69" s="16">
        <v>13555.5</v>
      </c>
      <c r="J69" s="15" t="s">
        <v>127</v>
      </c>
      <c r="K69" s="15" t="s">
        <v>128</v>
      </c>
      <c r="L69" s="15" t="s">
        <v>129</v>
      </c>
      <c r="M69" s="15"/>
    </row>
    <row r="70" ht="15.75" customHeight="1">
      <c r="A70" s="15" t="s">
        <v>46</v>
      </c>
      <c r="B70" s="15" t="s">
        <v>122</v>
      </c>
      <c r="C70" s="15">
        <v>96.0</v>
      </c>
      <c r="D70" s="15" t="s">
        <v>158</v>
      </c>
      <c r="E70" s="15" t="s">
        <v>49</v>
      </c>
      <c r="F70" s="15" t="s">
        <v>159</v>
      </c>
      <c r="G70" s="15" t="s">
        <v>160</v>
      </c>
      <c r="H70" s="15" t="s">
        <v>161</v>
      </c>
      <c r="I70" s="16">
        <v>13555.5</v>
      </c>
      <c r="J70" s="15" t="s">
        <v>41</v>
      </c>
      <c r="K70" s="15" t="s">
        <v>42</v>
      </c>
      <c r="L70" s="15" t="s">
        <v>64</v>
      </c>
      <c r="M70" s="15"/>
    </row>
    <row r="71" ht="15.75" customHeight="1">
      <c r="A71" s="15" t="s">
        <v>46</v>
      </c>
      <c r="B71" s="15" t="s">
        <v>122</v>
      </c>
      <c r="C71" s="15">
        <v>122.0</v>
      </c>
      <c r="D71" s="15" t="s">
        <v>162</v>
      </c>
      <c r="E71" s="15" t="s">
        <v>49</v>
      </c>
      <c r="F71" s="15" t="s">
        <v>163</v>
      </c>
      <c r="G71" s="15" t="s">
        <v>98</v>
      </c>
      <c r="H71" s="15" t="s">
        <v>164</v>
      </c>
      <c r="I71" s="16">
        <v>975.16</v>
      </c>
      <c r="J71" s="15" t="s">
        <v>41</v>
      </c>
      <c r="K71" s="15" t="s">
        <v>42</v>
      </c>
      <c r="L71" s="15" t="s">
        <v>64</v>
      </c>
      <c r="M71" s="15"/>
    </row>
    <row r="72" ht="15.75" customHeight="1">
      <c r="A72" s="15" t="s">
        <v>46</v>
      </c>
      <c r="B72" s="15" t="s">
        <v>122</v>
      </c>
      <c r="C72" s="15">
        <v>123.0</v>
      </c>
      <c r="D72" s="15" t="s">
        <v>162</v>
      </c>
      <c r="E72" s="15" t="s">
        <v>49</v>
      </c>
      <c r="F72" s="15" t="s">
        <v>65</v>
      </c>
      <c r="G72" s="15" t="s">
        <v>66</v>
      </c>
      <c r="H72" s="15" t="s">
        <v>164</v>
      </c>
      <c r="I72" s="16">
        <v>318.74</v>
      </c>
      <c r="J72" s="15" t="s">
        <v>41</v>
      </c>
      <c r="K72" s="15" t="s">
        <v>42</v>
      </c>
      <c r="L72" s="15" t="s">
        <v>64</v>
      </c>
      <c r="M72" s="15"/>
    </row>
    <row r="73" ht="15.75" customHeight="1">
      <c r="A73" s="15" t="s">
        <v>46</v>
      </c>
      <c r="B73" s="15" t="s">
        <v>122</v>
      </c>
      <c r="C73" s="15">
        <v>124.0</v>
      </c>
      <c r="D73" s="15" t="s">
        <v>162</v>
      </c>
      <c r="E73" s="15" t="s">
        <v>49</v>
      </c>
      <c r="F73" s="15" t="s">
        <v>165</v>
      </c>
      <c r="G73" s="15" t="s">
        <v>166</v>
      </c>
      <c r="H73" s="15" t="s">
        <v>167</v>
      </c>
      <c r="I73" s="16">
        <v>1189120.91</v>
      </c>
      <c r="J73" s="15" t="s">
        <v>168</v>
      </c>
      <c r="K73" s="15" t="s">
        <v>42</v>
      </c>
      <c r="L73" s="15" t="s">
        <v>169</v>
      </c>
      <c r="M73" s="15" t="s">
        <v>170</v>
      </c>
    </row>
    <row r="74" ht="15.75" customHeight="1">
      <c r="A74" s="15" t="s">
        <v>19</v>
      </c>
      <c r="B74" s="15" t="s">
        <v>122</v>
      </c>
      <c r="C74" s="15">
        <v>146.0</v>
      </c>
      <c r="D74" s="15" t="s">
        <v>171</v>
      </c>
      <c r="E74" s="15" t="s">
        <v>38</v>
      </c>
      <c r="F74" s="15" t="s">
        <v>172</v>
      </c>
      <c r="G74" s="15" t="s">
        <v>173</v>
      </c>
      <c r="H74" s="15"/>
      <c r="I74" s="16">
        <v>25062.14</v>
      </c>
      <c r="J74" s="15" t="s">
        <v>41</v>
      </c>
      <c r="K74" s="15" t="s">
        <v>42</v>
      </c>
      <c r="L74" s="15" t="s">
        <v>64</v>
      </c>
      <c r="M74" s="15" t="s">
        <v>174</v>
      </c>
    </row>
    <row r="75" ht="15.75" customHeight="1">
      <c r="A75" s="15" t="s">
        <v>20</v>
      </c>
      <c r="B75" s="15" t="s">
        <v>122</v>
      </c>
      <c r="C75" s="15">
        <v>147.0</v>
      </c>
      <c r="D75" s="15" t="s">
        <v>171</v>
      </c>
      <c r="E75" s="15" t="s">
        <v>45</v>
      </c>
      <c r="F75" s="15" t="s">
        <v>175</v>
      </c>
      <c r="G75" s="15" t="s">
        <v>176</v>
      </c>
      <c r="H75" s="15" t="s">
        <v>177</v>
      </c>
      <c r="I75" s="16">
        <v>311.65</v>
      </c>
      <c r="J75" s="15" t="s">
        <v>41</v>
      </c>
      <c r="K75" s="15" t="s">
        <v>42</v>
      </c>
      <c r="L75" s="15" t="s">
        <v>64</v>
      </c>
      <c r="M75" s="15" t="s">
        <v>178</v>
      </c>
    </row>
    <row r="76" ht="15.75" customHeight="1">
      <c r="A76" s="15" t="s">
        <v>20</v>
      </c>
      <c r="B76" s="15" t="s">
        <v>122</v>
      </c>
      <c r="C76" s="15">
        <v>148.0</v>
      </c>
      <c r="D76" s="15" t="s">
        <v>171</v>
      </c>
      <c r="E76" s="15" t="s">
        <v>45</v>
      </c>
      <c r="F76" s="15" t="s">
        <v>172</v>
      </c>
      <c r="G76" s="15" t="s">
        <v>176</v>
      </c>
      <c r="H76" s="15" t="s">
        <v>179</v>
      </c>
      <c r="I76" s="16">
        <v>9349.5</v>
      </c>
      <c r="J76" s="15" t="s">
        <v>41</v>
      </c>
      <c r="K76" s="15" t="s">
        <v>42</v>
      </c>
      <c r="L76" s="15" t="s">
        <v>64</v>
      </c>
      <c r="M76" s="15" t="s">
        <v>180</v>
      </c>
    </row>
    <row r="77" ht="15.75" customHeight="1">
      <c r="A77" s="15" t="s">
        <v>20</v>
      </c>
      <c r="B77" s="15" t="s">
        <v>122</v>
      </c>
      <c r="C77" s="15">
        <v>149.0</v>
      </c>
      <c r="D77" s="15" t="s">
        <v>171</v>
      </c>
      <c r="E77" s="15" t="s">
        <v>45</v>
      </c>
      <c r="F77" s="15" t="s">
        <v>172</v>
      </c>
      <c r="G77" s="15" t="s">
        <v>101</v>
      </c>
      <c r="H77" s="15" t="s">
        <v>181</v>
      </c>
      <c r="I77" s="16">
        <v>4051.0</v>
      </c>
      <c r="J77" s="15" t="s">
        <v>41</v>
      </c>
      <c r="K77" s="15" t="s">
        <v>42</v>
      </c>
      <c r="L77" s="15" t="s">
        <v>64</v>
      </c>
      <c r="M77" s="15" t="s">
        <v>182</v>
      </c>
    </row>
    <row r="78" ht="15.75" customHeight="1">
      <c r="A78" s="15" t="s">
        <v>46</v>
      </c>
      <c r="B78" s="15" t="s">
        <v>122</v>
      </c>
      <c r="C78" s="15">
        <v>164.0</v>
      </c>
      <c r="D78" s="15" t="s">
        <v>104</v>
      </c>
      <c r="E78" s="15" t="s">
        <v>49</v>
      </c>
      <c r="F78" s="15" t="s">
        <v>125</v>
      </c>
      <c r="G78" s="15" t="s">
        <v>126</v>
      </c>
      <c r="H78" s="15"/>
      <c r="I78" s="16">
        <v>13557.5</v>
      </c>
      <c r="J78" s="15" t="s">
        <v>127</v>
      </c>
      <c r="K78" s="15" t="s">
        <v>128</v>
      </c>
      <c r="L78" s="15" t="s">
        <v>129</v>
      </c>
      <c r="M78" s="15"/>
    </row>
    <row r="79" ht="15.75" customHeight="1">
      <c r="A79" s="17" t="s">
        <v>46</v>
      </c>
      <c r="B79" s="17" t="s">
        <v>122</v>
      </c>
      <c r="C79" s="17">
        <v>165.0</v>
      </c>
      <c r="D79" s="17" t="s">
        <v>104</v>
      </c>
      <c r="E79" s="17" t="s">
        <v>49</v>
      </c>
      <c r="F79" s="17" t="s">
        <v>159</v>
      </c>
      <c r="G79" s="17" t="s">
        <v>160</v>
      </c>
      <c r="H79" s="17" t="s">
        <v>183</v>
      </c>
      <c r="I79" s="18">
        <v>13557.5</v>
      </c>
      <c r="J79" s="17" t="s">
        <v>41</v>
      </c>
      <c r="K79" s="17" t="s">
        <v>42</v>
      </c>
      <c r="L79" s="17" t="s">
        <v>64</v>
      </c>
      <c r="M79" s="17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8.0"/>
    <col customWidth="1" min="2" max="2" width="18.0"/>
    <col customWidth="1" min="3" max="3" width="12.0"/>
    <col customWidth="1" min="4" max="4" width="52.0"/>
    <col customWidth="1" min="5" max="6" width="8.63"/>
  </cols>
  <sheetData>
    <row r="1">
      <c r="A1" s="19" t="s">
        <v>184</v>
      </c>
      <c r="B1" s="19" t="s">
        <v>185</v>
      </c>
      <c r="C1" s="19" t="s">
        <v>186</v>
      </c>
      <c r="D1" s="19" t="s">
        <v>187</v>
      </c>
    </row>
    <row r="2">
      <c r="A2" s="13" t="s">
        <v>188</v>
      </c>
      <c r="B2" s="14">
        <v>749172.86</v>
      </c>
      <c r="C2" s="13" t="s">
        <v>189</v>
      </c>
      <c r="D2" s="13" t="s">
        <v>190</v>
      </c>
    </row>
    <row r="3">
      <c r="A3" s="15" t="s">
        <v>191</v>
      </c>
      <c r="B3" s="16">
        <v>749172.86</v>
      </c>
      <c r="C3" s="15" t="s">
        <v>189</v>
      </c>
      <c r="D3" s="15" t="s">
        <v>192</v>
      </c>
    </row>
    <row r="4">
      <c r="A4" s="15" t="s">
        <v>193</v>
      </c>
      <c r="B4" s="16">
        <v>0.0</v>
      </c>
      <c r="C4" s="15" t="s">
        <v>189</v>
      </c>
      <c r="D4" s="15" t="s">
        <v>194</v>
      </c>
    </row>
    <row r="5">
      <c r="A5" s="15" t="s">
        <v>195</v>
      </c>
      <c r="B5" s="16">
        <v>7430140.13</v>
      </c>
      <c r="C5" s="15" t="s">
        <v>189</v>
      </c>
      <c r="D5" s="15" t="s">
        <v>190</v>
      </c>
    </row>
    <row r="6">
      <c r="A6" s="15" t="s">
        <v>196</v>
      </c>
      <c r="B6" s="16">
        <v>7430140.13</v>
      </c>
      <c r="C6" s="15" t="s">
        <v>189</v>
      </c>
      <c r="D6" s="15" t="s">
        <v>192</v>
      </c>
    </row>
    <row r="7">
      <c r="A7" s="15" t="s">
        <v>197</v>
      </c>
      <c r="B7" s="16">
        <v>6018607.69</v>
      </c>
      <c r="C7" s="15" t="s">
        <v>189</v>
      </c>
      <c r="D7" s="15" t="s">
        <v>198</v>
      </c>
    </row>
    <row r="8">
      <c r="A8" s="15" t="s">
        <v>199</v>
      </c>
      <c r="B8" s="16">
        <v>1411532.44</v>
      </c>
      <c r="C8" s="15" t="s">
        <v>189</v>
      </c>
      <c r="D8" s="15" t="s">
        <v>200</v>
      </c>
    </row>
    <row r="9">
      <c r="A9" s="15" t="s">
        <v>201</v>
      </c>
      <c r="B9" s="16">
        <v>1411532.44</v>
      </c>
      <c r="C9" s="15" t="s">
        <v>189</v>
      </c>
      <c r="D9" s="15" t="s">
        <v>202</v>
      </c>
    </row>
    <row r="10">
      <c r="A10" s="15" t="s">
        <v>203</v>
      </c>
      <c r="B10" s="16">
        <v>25062.14</v>
      </c>
      <c r="C10" s="15" t="s">
        <v>189</v>
      </c>
      <c r="D10" s="15" t="s">
        <v>204</v>
      </c>
    </row>
    <row r="11">
      <c r="A11" s="15" t="s">
        <v>205</v>
      </c>
      <c r="B11" s="16">
        <v>670770.77</v>
      </c>
      <c r="C11" s="15" t="s">
        <v>189</v>
      </c>
      <c r="D11" s="15" t="s">
        <v>206</v>
      </c>
    </row>
    <row r="12">
      <c r="A12" s="15" t="s">
        <v>207</v>
      </c>
      <c r="B12" s="16">
        <v>241414.0</v>
      </c>
      <c r="C12" s="15" t="s">
        <v>189</v>
      </c>
      <c r="D12" s="15" t="s">
        <v>208</v>
      </c>
    </row>
    <row r="13">
      <c r="A13" s="15" t="s">
        <v>209</v>
      </c>
      <c r="B13" s="16">
        <v>34337.48</v>
      </c>
      <c r="C13" s="15" t="s">
        <v>189</v>
      </c>
      <c r="D13" s="15" t="s">
        <v>210</v>
      </c>
    </row>
    <row r="14">
      <c r="A14" s="15" t="s">
        <v>211</v>
      </c>
      <c r="B14" s="16">
        <v>1189120.91</v>
      </c>
      <c r="C14" s="15" t="s">
        <v>189</v>
      </c>
      <c r="D14" s="15" t="s">
        <v>212</v>
      </c>
    </row>
    <row r="15">
      <c r="A15" s="17" t="s">
        <v>213</v>
      </c>
      <c r="B15" s="18">
        <v>1162905.0</v>
      </c>
      <c r="C15" s="20" t="s">
        <v>214</v>
      </c>
      <c r="D15" s="17" t="s">
        <v>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1.0"/>
    <col customWidth="1" min="2" max="2" width="58.0"/>
    <col customWidth="1" min="3" max="3" width="50.0"/>
    <col customWidth="1" min="4" max="4" width="58.0"/>
    <col customWidth="1" min="5" max="26" width="8.63"/>
  </cols>
  <sheetData>
    <row r="1" ht="33.75" customHeight="1">
      <c r="A1" s="21" t="s">
        <v>216</v>
      </c>
      <c r="B1" s="21" t="s">
        <v>217</v>
      </c>
      <c r="C1" s="21" t="s">
        <v>218</v>
      </c>
      <c r="D1" s="21" t="s">
        <v>219</v>
      </c>
    </row>
    <row r="2">
      <c r="A2" s="13" t="s">
        <v>1</v>
      </c>
      <c r="B2" s="13" t="s">
        <v>220</v>
      </c>
      <c r="C2" s="13" t="s">
        <v>221</v>
      </c>
      <c r="D2" s="13" t="s">
        <v>222</v>
      </c>
    </row>
    <row r="3">
      <c r="A3" s="15" t="s">
        <v>223</v>
      </c>
      <c r="B3" s="15" t="s">
        <v>224</v>
      </c>
      <c r="C3" s="15" t="s">
        <v>225</v>
      </c>
      <c r="D3" s="15" t="s">
        <v>226</v>
      </c>
    </row>
    <row r="4">
      <c r="A4" s="15" t="s">
        <v>50</v>
      </c>
      <c r="B4" s="15" t="s">
        <v>227</v>
      </c>
      <c r="C4" s="15" t="s">
        <v>228</v>
      </c>
      <c r="D4" s="15" t="s">
        <v>229</v>
      </c>
    </row>
    <row r="5">
      <c r="A5" s="15" t="s">
        <v>5</v>
      </c>
      <c r="B5" s="15" t="s">
        <v>230</v>
      </c>
      <c r="C5" s="15" t="s">
        <v>231</v>
      </c>
      <c r="D5" s="15" t="s">
        <v>232</v>
      </c>
    </row>
    <row r="6">
      <c r="A6" s="15" t="s">
        <v>6</v>
      </c>
      <c r="B6" s="15" t="s">
        <v>233</v>
      </c>
      <c r="C6" s="15" t="s">
        <v>234</v>
      </c>
      <c r="D6" s="15" t="s">
        <v>235</v>
      </c>
    </row>
    <row r="7">
      <c r="A7" s="15" t="s">
        <v>236</v>
      </c>
      <c r="B7" s="15" t="s">
        <v>237</v>
      </c>
      <c r="C7" s="15" t="s">
        <v>238</v>
      </c>
      <c r="D7" s="15" t="s">
        <v>239</v>
      </c>
    </row>
    <row r="8">
      <c r="A8" s="15" t="s">
        <v>8</v>
      </c>
      <c r="B8" s="15" t="s">
        <v>240</v>
      </c>
      <c r="C8" s="15" t="s">
        <v>241</v>
      </c>
      <c r="D8" s="15" t="s">
        <v>242</v>
      </c>
    </row>
    <row r="9">
      <c r="A9" s="15" t="s">
        <v>9</v>
      </c>
      <c r="B9" s="15" t="s">
        <v>243</v>
      </c>
      <c r="C9" s="15" t="s">
        <v>244</v>
      </c>
      <c r="D9" s="15" t="s">
        <v>245</v>
      </c>
    </row>
    <row r="10">
      <c r="A10" s="15" t="s">
        <v>246</v>
      </c>
      <c r="B10" s="15" t="s">
        <v>247</v>
      </c>
      <c r="C10" s="15" t="s">
        <v>248</v>
      </c>
      <c r="D10" s="15" t="s">
        <v>249</v>
      </c>
    </row>
    <row r="11">
      <c r="A11" s="15" t="s">
        <v>11</v>
      </c>
      <c r="B11" s="15" t="s">
        <v>250</v>
      </c>
      <c r="C11" s="15" t="s">
        <v>251</v>
      </c>
      <c r="D11" s="15" t="s">
        <v>252</v>
      </c>
    </row>
    <row r="12">
      <c r="A12" s="17" t="s">
        <v>12</v>
      </c>
      <c r="B12" s="17" t="s">
        <v>253</v>
      </c>
      <c r="C12" s="17" t="s">
        <v>254</v>
      </c>
      <c r="D12" s="17" t="s">
        <v>255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